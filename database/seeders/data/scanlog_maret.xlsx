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795"/>
  </bookViews>
  <sheets>
    <sheet name="MARET" sheetId="1" r:id="rId1"/>
  </sheets>
  <definedNames>
    <definedName name="_xlnm.Print_Area" localSheetId="0">MARET!$C$422:$P$490</definedName>
  </definedNames>
  <calcPr calcId="144525"/>
</workbook>
</file>

<file path=xl/calcChain.xml><?xml version="1.0" encoding="utf-8"?>
<calcChain xmlns="http://schemas.openxmlformats.org/spreadsheetml/2006/main">
  <c r="O1806" i="1" l="1"/>
  <c r="N1806" i="1"/>
  <c r="M1806" i="1"/>
  <c r="I1806" i="1"/>
  <c r="O1768" i="1"/>
  <c r="N1768" i="1"/>
  <c r="M1768" i="1"/>
  <c r="I1768" i="1"/>
  <c r="O1730" i="1"/>
  <c r="N1730" i="1"/>
  <c r="M1730" i="1"/>
  <c r="I1730" i="1"/>
  <c r="O1692" i="1"/>
  <c r="N1692" i="1"/>
  <c r="M1692" i="1"/>
  <c r="I1692" i="1"/>
  <c r="O1654" i="1"/>
  <c r="N1654" i="1"/>
  <c r="M1654" i="1"/>
  <c r="I1654" i="1"/>
  <c r="O1619" i="1"/>
  <c r="N1619" i="1"/>
  <c r="M1619" i="1"/>
  <c r="I1619" i="1"/>
  <c r="O1584" i="1"/>
  <c r="N1584" i="1"/>
  <c r="M1584" i="1"/>
  <c r="I1584" i="1"/>
  <c r="O1548" i="1"/>
  <c r="N1548" i="1"/>
  <c r="M1548" i="1"/>
  <c r="O1513" i="1"/>
  <c r="N1513" i="1"/>
  <c r="M1513" i="1"/>
  <c r="O1478" i="1"/>
  <c r="N1478" i="1"/>
  <c r="M1478" i="1"/>
  <c r="I1478" i="1"/>
  <c r="O1441" i="1"/>
  <c r="N1441" i="1"/>
  <c r="M1441" i="1"/>
  <c r="I1441" i="1"/>
  <c r="O1405" i="1"/>
  <c r="N1405" i="1"/>
  <c r="M1405" i="1"/>
  <c r="I1405" i="1"/>
  <c r="O1368" i="1"/>
  <c r="N1368" i="1"/>
  <c r="M1368" i="1"/>
  <c r="I1368" i="1"/>
  <c r="O1334" i="1"/>
  <c r="N1334" i="1"/>
  <c r="M1334" i="1"/>
  <c r="O1300" i="1"/>
  <c r="N1300" i="1"/>
  <c r="M1300" i="1"/>
  <c r="I1300" i="1"/>
  <c r="O1265" i="1"/>
  <c r="N1265" i="1"/>
  <c r="M1265" i="1"/>
  <c r="I1265" i="1"/>
  <c r="O1230" i="1"/>
  <c r="N1230" i="1"/>
  <c r="M1230" i="1"/>
  <c r="I1230" i="1"/>
  <c r="O1192" i="1"/>
  <c r="N1192" i="1"/>
  <c r="M1192" i="1"/>
  <c r="I1192" i="1"/>
  <c r="O1158" i="1"/>
  <c r="N1158" i="1"/>
  <c r="M1158" i="1"/>
  <c r="I1158" i="1"/>
  <c r="O1123" i="1"/>
  <c r="N1123" i="1"/>
  <c r="M1123" i="1"/>
  <c r="O1088" i="1"/>
  <c r="N1088" i="1"/>
  <c r="M1088" i="1"/>
  <c r="I1088" i="1"/>
  <c r="O1054" i="1"/>
  <c r="N1054" i="1"/>
  <c r="M1054" i="1"/>
  <c r="I1054" i="1"/>
  <c r="O1019" i="1"/>
  <c r="N1019" i="1"/>
  <c r="M1019" i="1"/>
  <c r="I1019" i="1"/>
  <c r="O985" i="1"/>
  <c r="N985" i="1"/>
  <c r="M985" i="1"/>
  <c r="I985" i="1"/>
  <c r="O948" i="1"/>
  <c r="N948" i="1"/>
  <c r="M948" i="1"/>
  <c r="I948" i="1"/>
  <c r="O912" i="1"/>
  <c r="N912" i="1"/>
  <c r="M912" i="1"/>
  <c r="I912" i="1"/>
  <c r="O875" i="1"/>
  <c r="N875" i="1"/>
  <c r="M875" i="1"/>
  <c r="I875" i="1"/>
  <c r="O839" i="1"/>
  <c r="N839" i="1"/>
  <c r="M839" i="1"/>
  <c r="I839" i="1"/>
  <c r="O804" i="1"/>
  <c r="N804" i="1"/>
  <c r="M804" i="1"/>
  <c r="I804" i="1"/>
  <c r="O768" i="1"/>
  <c r="N768" i="1"/>
  <c r="M768" i="1"/>
  <c r="I768" i="1"/>
  <c r="O734" i="1"/>
  <c r="N734" i="1"/>
  <c r="M734" i="1"/>
  <c r="I734" i="1"/>
  <c r="O698" i="1"/>
  <c r="N698" i="1"/>
  <c r="M698" i="1"/>
  <c r="I698" i="1"/>
  <c r="O664" i="1"/>
  <c r="N664" i="1"/>
  <c r="M664" i="1"/>
  <c r="I664" i="1"/>
  <c r="O629" i="1"/>
  <c r="N629" i="1"/>
  <c r="M629" i="1"/>
  <c r="I629" i="1"/>
  <c r="O594" i="1"/>
  <c r="N594" i="1"/>
  <c r="M594" i="1"/>
  <c r="I594" i="1"/>
  <c r="O560" i="1"/>
  <c r="N560" i="1"/>
  <c r="M560" i="1"/>
  <c r="I560" i="1"/>
  <c r="O525" i="1"/>
  <c r="N525" i="1"/>
  <c r="M525" i="1"/>
  <c r="I525" i="1"/>
  <c r="O490" i="1"/>
  <c r="N490" i="1"/>
  <c r="M490" i="1"/>
  <c r="I490" i="1"/>
  <c r="O455" i="1"/>
  <c r="N455" i="1"/>
  <c r="M455" i="1"/>
  <c r="I455" i="1"/>
  <c r="O419" i="1"/>
  <c r="N419" i="1"/>
  <c r="M419" i="1"/>
  <c r="I419" i="1"/>
  <c r="O383" i="1"/>
  <c r="N383" i="1"/>
  <c r="M383" i="1"/>
  <c r="I383" i="1"/>
  <c r="O348" i="1"/>
  <c r="N348" i="1"/>
  <c r="M348" i="1"/>
  <c r="I348" i="1"/>
  <c r="O313" i="1"/>
  <c r="N313" i="1"/>
  <c r="M313" i="1"/>
  <c r="O278" i="1"/>
  <c r="N278" i="1"/>
  <c r="M278" i="1"/>
  <c r="I278" i="1"/>
  <c r="O243" i="1"/>
  <c r="N243" i="1"/>
  <c r="M243" i="1"/>
  <c r="I243" i="1"/>
  <c r="O209" i="1"/>
  <c r="N209" i="1"/>
  <c r="M209" i="1"/>
  <c r="O176" i="1"/>
  <c r="N176" i="1"/>
  <c r="M176" i="1"/>
  <c r="O141" i="1"/>
  <c r="N141" i="1"/>
  <c r="M141" i="1"/>
  <c r="O106" i="1"/>
  <c r="N106" i="1"/>
  <c r="M106" i="1"/>
  <c r="I106" i="1"/>
  <c r="O71" i="1"/>
  <c r="N71" i="1"/>
  <c r="M71" i="1"/>
  <c r="O37" i="1"/>
  <c r="N37" i="1"/>
  <c r="M37" i="1"/>
  <c r="I37" i="1"/>
</calcChain>
</file>

<file path=xl/sharedStrings.xml><?xml version="1.0" encoding="utf-8"?>
<sst xmlns="http://schemas.openxmlformats.org/spreadsheetml/2006/main" count="4266" uniqueCount="89">
  <si>
    <t>DATA SCANLOG</t>
  </si>
  <si>
    <t>NIP</t>
  </si>
  <si>
    <t>NAMA</t>
  </si>
  <si>
    <t>JABATAN</t>
  </si>
  <si>
    <t>DEPARTEMEN</t>
  </si>
  <si>
    <t>HARI</t>
  </si>
  <si>
    <t>TANGGAL</t>
  </si>
  <si>
    <t>SCAN 1</t>
  </si>
  <si>
    <t>SCAN 2</t>
  </si>
  <si>
    <t xml:space="preserve">NORMAL </t>
  </si>
  <si>
    <t xml:space="preserve">DOUBLE </t>
  </si>
  <si>
    <t xml:space="preserve">MINGGU </t>
  </si>
  <si>
    <t>NASAR SUPRIANTO</t>
  </si>
  <si>
    <t>MINGGU</t>
  </si>
  <si>
    <t>SENIN</t>
  </si>
  <si>
    <t>SELASA</t>
  </si>
  <si>
    <t>RABU</t>
  </si>
  <si>
    <t>KAMIS</t>
  </si>
  <si>
    <t>JUMAT</t>
  </si>
  <si>
    <t>SABTU</t>
  </si>
  <si>
    <t>TOTAL</t>
  </si>
  <si>
    <t xml:space="preserve">KUSTORO </t>
  </si>
  <si>
    <t/>
  </si>
  <si>
    <t>KUSTORO</t>
  </si>
  <si>
    <t>RAMLAN EFENDI</t>
  </si>
  <si>
    <t>ARIFIN ZUHDI</t>
  </si>
  <si>
    <t>AGUS SETIAWAN</t>
  </si>
  <si>
    <t>ALIFFUDIN</t>
  </si>
  <si>
    <t>16:00:33 PM</t>
  </si>
  <si>
    <t>KARNAHUDIN</t>
  </si>
  <si>
    <t>GA MSK</t>
  </si>
  <si>
    <t>SUHENDRI</t>
  </si>
  <si>
    <t>RIZKI SYAEFUL A</t>
  </si>
  <si>
    <t>ATTHOUR ROHMAN</t>
  </si>
  <si>
    <t>ANDI SAPUTRA</t>
  </si>
  <si>
    <t>TAFIP</t>
  </si>
  <si>
    <t>16:00:51 PM</t>
  </si>
  <si>
    <t>16:02:11 PM</t>
  </si>
  <si>
    <t>WASMAN</t>
  </si>
  <si>
    <t>IBNU R</t>
  </si>
  <si>
    <t>ADI BAGUS</t>
  </si>
  <si>
    <t>ga masuk</t>
  </si>
  <si>
    <t>ALI MAKHFUZD</t>
  </si>
  <si>
    <t>KHAERUL FUAD</t>
  </si>
  <si>
    <t>MUHAIMIN</t>
  </si>
  <si>
    <t>SAEFUL ROHMAN</t>
  </si>
  <si>
    <t>UJANG WAHYUDIN</t>
  </si>
  <si>
    <t>16:00:45 PM</t>
  </si>
  <si>
    <t>SEPRI MAULADI</t>
  </si>
  <si>
    <t>NIZAR</t>
  </si>
  <si>
    <t>ISWANTO</t>
  </si>
  <si>
    <t>16:00:35 PM</t>
  </si>
  <si>
    <t>HABIB MAULANA N</t>
  </si>
  <si>
    <t>LULU ISLAMIYYAH</t>
  </si>
  <si>
    <t>AAM SETIAWAN</t>
  </si>
  <si>
    <t>16:01:57 PM</t>
  </si>
  <si>
    <t>ZAENUDIN</t>
  </si>
  <si>
    <t>ZAINAL KABIB</t>
  </si>
  <si>
    <t>17:05:35 PM</t>
  </si>
  <si>
    <t>13:10:25 PM</t>
  </si>
  <si>
    <t xml:space="preserve"> </t>
  </si>
  <si>
    <t>JULI</t>
  </si>
  <si>
    <t>17:00:25 PM</t>
  </si>
  <si>
    <t>13:00:45 PM</t>
  </si>
  <si>
    <t>16:01:01 PM</t>
  </si>
  <si>
    <t>IMAM CNC</t>
  </si>
  <si>
    <t xml:space="preserve">riski </t>
  </si>
  <si>
    <t>AGUNG WIRECUT</t>
  </si>
  <si>
    <t>ROVIN</t>
  </si>
  <si>
    <t>syaebudi</t>
  </si>
  <si>
    <t>IRAWANTO</t>
  </si>
  <si>
    <t>IRFAN</t>
  </si>
  <si>
    <t>:</t>
  </si>
  <si>
    <t>NOSITA A</t>
  </si>
  <si>
    <t>HENDI IRAWAN</t>
  </si>
  <si>
    <t>FAROYI</t>
  </si>
  <si>
    <t>16:06:21 PM</t>
  </si>
  <si>
    <t>RISKI FAISAL</t>
  </si>
  <si>
    <t>NURUL AMALIA</t>
  </si>
  <si>
    <t>TOSIN</t>
  </si>
  <si>
    <t>SYARIEF</t>
  </si>
  <si>
    <t>16:12:09 PM</t>
  </si>
  <si>
    <t>RUDI CNC</t>
  </si>
  <si>
    <t>nana</t>
  </si>
  <si>
    <t>TYO</t>
  </si>
  <si>
    <t>ADRYAN</t>
  </si>
  <si>
    <t>ISMAN SURANDARU</t>
  </si>
  <si>
    <t>EKO P</t>
  </si>
  <si>
    <t>WIWIN 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</si>
</sst>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F400]h:mm:ss\ AM/PM"/>
    <numFmt numFmtId="165" formatCode="_(* #,##0_);_(* \(#,##0\);_(* &quot;-&quot;??_);_(@_)"/>
  </numFmts>
  <fonts count="12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0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indexed="64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indexed="1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 style="thin">
        <color indexed="20"/>
      </right>
      <top style="thin">
        <color indexed="20"/>
      </top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0"/>
      </bottom>
      <diagonal/>
    </border>
    <border>
      <left/>
      <right/>
      <top/>
      <bottom style="thin">
        <color indexed="20"/>
      </bottom>
      <diagonal/>
    </border>
    <border>
      <left style="thin">
        <color indexed="20"/>
      </left>
      <right style="thin">
        <color indexed="20"/>
      </right>
      <top/>
      <bottom style="thin">
        <color indexed="20"/>
      </bottom>
      <diagonal/>
    </border>
    <border>
      <left style="thin">
        <color indexed="20"/>
      </left>
      <right/>
      <top/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64"/>
      </right>
      <top style="thin">
        <color indexed="20"/>
      </top>
      <bottom style="thin">
        <color indexed="20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 style="thin">
        <color indexed="64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indexed="1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 style="thin">
        <color indexed="64"/>
      </right>
      <top style="thin">
        <color indexed="20"/>
      </top>
      <bottom style="thin">
        <color indexed="20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6" fillId="0" borderId="0"/>
  </cellStyleXfs>
  <cellXfs count="1090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Border="1"/>
    <xf numFmtId="0" fontId="2" fillId="0" borderId="0" xfId="0" applyFont="1"/>
    <xf numFmtId="43" fontId="2" fillId="0" borderId="0" xfId="1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165" fontId="2" fillId="0" borderId="0" xfId="1" applyNumberFormat="1" applyFont="1" applyBorder="1"/>
    <xf numFmtId="43" fontId="4" fillId="0" borderId="3" xfId="1" applyFont="1" applyBorder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0" fontId="8" fillId="3" borderId="4" xfId="2" applyFont="1" applyFill="1" applyBorder="1" applyAlignment="1">
      <alignment horizontal="center" vertical="center"/>
    </xf>
    <xf numFmtId="43" fontId="7" fillId="3" borderId="0" xfId="1" applyFont="1" applyFill="1" applyBorder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43" fontId="7" fillId="3" borderId="0" xfId="1" applyFont="1" applyFill="1" applyBorder="1" applyAlignment="1">
      <alignment horizontal="left" vertical="center"/>
    </xf>
    <xf numFmtId="164" fontId="7" fillId="3" borderId="0" xfId="2" applyNumberFormat="1" applyFont="1" applyFill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43" fontId="4" fillId="3" borderId="6" xfId="1" applyFont="1" applyFill="1" applyBorder="1" applyAlignment="1">
      <alignment horizontal="center" vertical="center"/>
    </xf>
    <xf numFmtId="0" fontId="7" fillId="4" borderId="7" xfId="2" applyFont="1" applyFill="1" applyBorder="1" applyAlignment="1">
      <alignment horizontal="center" vertical="center"/>
    </xf>
    <xf numFmtId="43" fontId="7" fillId="4" borderId="8" xfId="1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43" fontId="7" fillId="4" borderId="8" xfId="1" applyFont="1" applyFill="1" applyBorder="1" applyAlignment="1">
      <alignment horizontal="left" vertical="center"/>
    </xf>
    <xf numFmtId="164" fontId="7" fillId="4" borderId="8" xfId="2" applyNumberFormat="1" applyFont="1" applyFill="1" applyBorder="1" applyAlignment="1">
      <alignment horizontal="center" vertical="center"/>
    </xf>
    <xf numFmtId="0" fontId="7" fillId="4" borderId="9" xfId="2" applyFont="1" applyFill="1" applyBorder="1" applyAlignment="1">
      <alignment horizontal="center" vertical="center"/>
    </xf>
    <xf numFmtId="0" fontId="9" fillId="4" borderId="9" xfId="2" applyFont="1" applyFill="1" applyBorder="1" applyAlignment="1">
      <alignment horizontal="center" vertical="center"/>
    </xf>
    <xf numFmtId="0" fontId="9" fillId="4" borderId="10" xfId="2" applyFont="1" applyFill="1" applyBorder="1" applyAlignment="1">
      <alignment horizontal="center" vertical="center"/>
    </xf>
    <xf numFmtId="43" fontId="8" fillId="0" borderId="10" xfId="1" applyFont="1" applyBorder="1" applyAlignment="1">
      <alignment vertical="center"/>
    </xf>
    <xf numFmtId="165" fontId="8" fillId="0" borderId="0" xfId="1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11" xfId="2" quotePrefix="1" applyFont="1" applyBorder="1" applyAlignment="1">
      <alignment horizontal="center" vertical="center"/>
    </xf>
    <xf numFmtId="43" fontId="2" fillId="0" borderId="11" xfId="1" applyFont="1" applyFill="1" applyBorder="1" applyAlignment="1">
      <alignment horizontal="left" vertical="center"/>
    </xf>
    <xf numFmtId="0" fontId="2" fillId="0" borderId="11" xfId="2" applyFont="1" applyBorder="1" applyAlignment="1">
      <alignment horizontal="left" vertical="center"/>
    </xf>
    <xf numFmtId="0" fontId="2" fillId="0" borderId="11" xfId="2" applyFont="1" applyBorder="1" applyAlignment="1">
      <alignment horizontal="center" vertical="center"/>
    </xf>
    <xf numFmtId="43" fontId="3" fillId="0" borderId="11" xfId="1" applyFont="1" applyFill="1" applyBorder="1" applyAlignment="1">
      <alignment horizontal="left" vertical="center"/>
    </xf>
    <xf numFmtId="14" fontId="2" fillId="0" borderId="11" xfId="2" quotePrefix="1" applyNumberFormat="1" applyFont="1" applyBorder="1" applyAlignment="1">
      <alignment horizontal="center" vertical="center"/>
    </xf>
    <xf numFmtId="164" fontId="2" fillId="0" borderId="11" xfId="2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3" fontId="2" fillId="0" borderId="11" xfId="1" applyFont="1" applyBorder="1" applyAlignment="1">
      <alignment vertical="center"/>
    </xf>
    <xf numFmtId="165" fontId="10" fillId="0" borderId="0" xfId="1" applyNumberFormat="1" applyFont="1" applyAlignment="1">
      <alignment vertical="center"/>
    </xf>
    <xf numFmtId="0" fontId="2" fillId="0" borderId="12" xfId="2" quotePrefix="1" applyFont="1" applyBorder="1" applyAlignment="1">
      <alignment horizontal="center" vertical="center"/>
    </xf>
    <xf numFmtId="43" fontId="2" fillId="0" borderId="12" xfId="1" applyFont="1" applyFill="1" applyBorder="1" applyAlignment="1">
      <alignment horizontal="left" vertical="center"/>
    </xf>
    <xf numFmtId="0" fontId="2" fillId="0" borderId="12" xfId="2" applyFont="1" applyBorder="1" applyAlignment="1">
      <alignment horizontal="left" vertical="center"/>
    </xf>
    <xf numFmtId="0" fontId="2" fillId="0" borderId="12" xfId="2" applyFont="1" applyBorder="1" applyAlignment="1">
      <alignment horizontal="center" vertical="center"/>
    </xf>
    <xf numFmtId="164" fontId="2" fillId="0" borderId="12" xfId="2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3" fontId="2" fillId="0" borderId="12" xfId="1" applyFont="1" applyBorder="1" applyAlignment="1">
      <alignment vertical="center"/>
    </xf>
    <xf numFmtId="43" fontId="2" fillId="3" borderId="12" xfId="1" applyFont="1" applyFill="1" applyBorder="1" applyAlignment="1">
      <alignment horizontal="left" vertical="center"/>
    </xf>
    <xf numFmtId="43" fontId="3" fillId="0" borderId="12" xfId="1" applyFont="1" applyFill="1" applyBorder="1" applyAlignment="1">
      <alignment horizontal="left" vertical="center"/>
    </xf>
    <xf numFmtId="164" fontId="2" fillId="0" borderId="12" xfId="2" quotePrefix="1" applyNumberFormat="1" applyFont="1" applyBorder="1" applyAlignment="1">
      <alignment horizontal="center" vertical="center"/>
    </xf>
    <xf numFmtId="43" fontId="8" fillId="3" borderId="12" xfId="1" applyFont="1" applyFill="1" applyBorder="1" applyAlignment="1">
      <alignment horizontal="left" vertical="center"/>
    </xf>
    <xf numFmtId="0" fontId="8" fillId="3" borderId="13" xfId="2" applyFont="1" applyFill="1" applyBorder="1" applyAlignment="1">
      <alignment horizontal="center" vertical="center"/>
    </xf>
    <xf numFmtId="43" fontId="4" fillId="5" borderId="13" xfId="1" applyFont="1" applyFill="1" applyBorder="1" applyAlignment="1">
      <alignment vertical="center"/>
    </xf>
    <xf numFmtId="0" fontId="4" fillId="5" borderId="13" xfId="2" applyFont="1" applyFill="1" applyBorder="1" applyAlignment="1">
      <alignment vertical="center"/>
    </xf>
    <xf numFmtId="43" fontId="4" fillId="5" borderId="13" xfId="1" applyFont="1" applyFill="1" applyBorder="1" applyAlignment="1">
      <alignment horizontal="left" vertical="center"/>
    </xf>
    <xf numFmtId="0" fontId="4" fillId="5" borderId="13" xfId="2" applyFont="1" applyFill="1" applyBorder="1" applyAlignment="1">
      <alignment horizontal="center" vertical="center"/>
    </xf>
    <xf numFmtId="164" fontId="4" fillId="5" borderId="13" xfId="2" applyNumberFormat="1" applyFont="1" applyFill="1" applyBorder="1" applyAlignment="1">
      <alignment horizontal="right" vertical="center"/>
    </xf>
    <xf numFmtId="164" fontId="4" fillId="5" borderId="14" xfId="1" applyNumberFormat="1" applyFont="1" applyFill="1" applyBorder="1" applyAlignment="1">
      <alignment horizontal="center" vertical="center"/>
    </xf>
    <xf numFmtId="0" fontId="2" fillId="5" borderId="15" xfId="2" applyFont="1" applyFill="1" applyBorder="1" applyAlignment="1">
      <alignment horizontal="left" vertical="center"/>
    </xf>
    <xf numFmtId="43" fontId="4" fillId="5" borderId="13" xfId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43" fontId="4" fillId="3" borderId="2" xfId="1" applyFont="1" applyFill="1" applyBorder="1" applyAlignment="1">
      <alignment vertical="center"/>
    </xf>
    <xf numFmtId="0" fontId="4" fillId="3" borderId="2" xfId="2" applyFont="1" applyFill="1" applyBorder="1" applyAlignment="1">
      <alignment vertical="center"/>
    </xf>
    <xf numFmtId="43" fontId="4" fillId="3" borderId="2" xfId="1" applyFont="1" applyFill="1" applyBorder="1" applyAlignment="1">
      <alignment horizontal="left" vertical="center"/>
    </xf>
    <xf numFmtId="0" fontId="4" fillId="3" borderId="2" xfId="2" applyFont="1" applyFill="1" applyBorder="1" applyAlignment="1">
      <alignment horizontal="center" vertical="center"/>
    </xf>
    <xf numFmtId="164" fontId="4" fillId="3" borderId="2" xfId="2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3" fontId="8" fillId="3" borderId="3" xfId="1" applyFont="1" applyFill="1" applyBorder="1" applyAlignment="1">
      <alignment vertical="center"/>
    </xf>
    <xf numFmtId="0" fontId="8" fillId="4" borderId="16" xfId="2" applyFont="1" applyFill="1" applyBorder="1" applyAlignment="1">
      <alignment horizontal="center" vertical="center"/>
    </xf>
    <xf numFmtId="43" fontId="7" fillId="4" borderId="17" xfId="1" applyFont="1" applyFill="1" applyBorder="1" applyAlignment="1">
      <alignment horizontal="center" vertical="center"/>
    </xf>
    <xf numFmtId="0" fontId="7" fillId="4" borderId="17" xfId="2" applyFont="1" applyFill="1" applyBorder="1" applyAlignment="1">
      <alignment horizontal="center" vertical="center"/>
    </xf>
    <xf numFmtId="43" fontId="7" fillId="4" borderId="17" xfId="1" applyFont="1" applyFill="1" applyBorder="1" applyAlignment="1">
      <alignment horizontal="left" vertical="center"/>
    </xf>
    <xf numFmtId="164" fontId="7" fillId="4" borderId="17" xfId="2" applyNumberFormat="1" applyFont="1" applyFill="1" applyBorder="1" applyAlignment="1">
      <alignment horizontal="center" vertical="center"/>
    </xf>
    <xf numFmtId="0" fontId="7" fillId="4" borderId="18" xfId="2" applyFont="1" applyFill="1" applyBorder="1" applyAlignment="1">
      <alignment horizontal="center" vertical="center"/>
    </xf>
    <xf numFmtId="0" fontId="9" fillId="4" borderId="18" xfId="2" applyFont="1" applyFill="1" applyBorder="1" applyAlignment="1">
      <alignment horizontal="center" vertical="center"/>
    </xf>
    <xf numFmtId="0" fontId="9" fillId="4" borderId="19" xfId="2" applyFont="1" applyFill="1" applyBorder="1" applyAlignment="1">
      <alignment horizontal="center" vertical="center"/>
    </xf>
    <xf numFmtId="43" fontId="8" fillId="0" borderId="19" xfId="1" applyFont="1" applyBorder="1" applyAlignment="1">
      <alignment vertical="center"/>
    </xf>
    <xf numFmtId="0" fontId="2" fillId="0" borderId="20" xfId="2" quotePrefix="1" applyFont="1" applyBorder="1" applyAlignment="1">
      <alignment horizontal="center" vertical="center"/>
    </xf>
    <xf numFmtId="43" fontId="2" fillId="0" borderId="14" xfId="1" applyFont="1" applyFill="1" applyBorder="1" applyAlignment="1">
      <alignment horizontal="left" vertical="center"/>
    </xf>
    <xf numFmtId="0" fontId="2" fillId="0" borderId="14" xfId="2" applyFont="1" applyBorder="1" applyAlignment="1">
      <alignment horizontal="left" vertical="center"/>
    </xf>
    <xf numFmtId="0" fontId="2" fillId="0" borderId="14" xfId="2" applyFont="1" applyBorder="1" applyAlignment="1">
      <alignment horizontal="center" vertical="center"/>
    </xf>
    <xf numFmtId="0" fontId="2" fillId="0" borderId="21" xfId="2" quotePrefix="1" applyFont="1" applyBorder="1" applyAlignment="1">
      <alignment horizontal="center" vertical="center"/>
    </xf>
    <xf numFmtId="43" fontId="2" fillId="0" borderId="22" xfId="1" applyFont="1" applyFill="1" applyBorder="1" applyAlignment="1">
      <alignment horizontal="left" vertical="center"/>
    </xf>
    <xf numFmtId="0" fontId="2" fillId="0" borderId="22" xfId="2" applyFont="1" applyBorder="1" applyAlignment="1">
      <alignment horizontal="left" vertical="center"/>
    </xf>
    <xf numFmtId="0" fontId="2" fillId="0" borderId="22" xfId="2" applyFont="1" applyBorder="1" applyAlignment="1">
      <alignment horizontal="center" vertical="center"/>
    </xf>
    <xf numFmtId="0" fontId="2" fillId="0" borderId="23" xfId="2" quotePrefix="1" applyFont="1" applyBorder="1" applyAlignment="1">
      <alignment horizontal="center" vertical="center"/>
    </xf>
    <xf numFmtId="43" fontId="2" fillId="0" borderId="23" xfId="1" applyFont="1" applyFill="1" applyBorder="1" applyAlignment="1">
      <alignment horizontal="left" vertical="center"/>
    </xf>
    <xf numFmtId="0" fontId="2" fillId="0" borderId="23" xfId="2" applyFont="1" applyBorder="1" applyAlignment="1">
      <alignment horizontal="left" vertical="center"/>
    </xf>
    <xf numFmtId="0" fontId="2" fillId="0" borderId="23" xfId="2" applyFont="1" applyBorder="1" applyAlignment="1">
      <alignment horizontal="center" vertical="center"/>
    </xf>
    <xf numFmtId="0" fontId="2" fillId="5" borderId="24" xfId="2" applyFont="1" applyFill="1" applyBorder="1" applyAlignment="1">
      <alignment horizontal="center" vertical="center"/>
    </xf>
    <xf numFmtId="43" fontId="4" fillId="5" borderId="25" xfId="1" applyFont="1" applyFill="1" applyBorder="1" applyAlignment="1">
      <alignment vertical="center"/>
    </xf>
    <xf numFmtId="0" fontId="4" fillId="5" borderId="25" xfId="2" applyFont="1" applyFill="1" applyBorder="1" applyAlignment="1">
      <alignment vertical="center"/>
    </xf>
    <xf numFmtId="43" fontId="4" fillId="5" borderId="25" xfId="1" applyFont="1" applyFill="1" applyBorder="1" applyAlignment="1">
      <alignment horizontal="left" vertical="center"/>
    </xf>
    <xf numFmtId="0" fontId="4" fillId="5" borderId="25" xfId="2" applyFont="1" applyFill="1" applyBorder="1" applyAlignment="1">
      <alignment horizontal="center" vertical="center"/>
    </xf>
    <xf numFmtId="164" fontId="4" fillId="5" borderId="25" xfId="2" applyNumberFormat="1" applyFont="1" applyFill="1" applyBorder="1" applyAlignment="1">
      <alignment horizontal="left" vertical="center"/>
    </xf>
    <xf numFmtId="164" fontId="4" fillId="5" borderId="26" xfId="1" applyNumberFormat="1" applyFont="1" applyFill="1" applyBorder="1" applyAlignment="1">
      <alignment horizontal="center" vertical="center"/>
    </xf>
    <xf numFmtId="0" fontId="2" fillId="5" borderId="27" xfId="2" applyFont="1" applyFill="1" applyBorder="1" applyAlignment="1">
      <alignment horizontal="left" vertical="center"/>
    </xf>
    <xf numFmtId="0" fontId="4" fillId="5" borderId="15" xfId="2" applyFont="1" applyFill="1" applyBorder="1" applyAlignment="1">
      <alignment horizontal="center" vertical="center"/>
    </xf>
    <xf numFmtId="43" fontId="8" fillId="3" borderId="28" xfId="1" applyFont="1" applyFill="1" applyBorder="1" applyAlignment="1">
      <alignment vertical="center"/>
    </xf>
    <xf numFmtId="0" fontId="8" fillId="3" borderId="29" xfId="2" applyFont="1" applyFill="1" applyBorder="1" applyAlignment="1">
      <alignment horizontal="center" vertical="center"/>
    </xf>
    <xf numFmtId="43" fontId="4" fillId="3" borderId="30" xfId="1" applyFont="1" applyFill="1" applyBorder="1" applyAlignment="1">
      <alignment vertical="center"/>
    </xf>
    <xf numFmtId="0" fontId="4" fillId="3" borderId="30" xfId="2" applyFont="1" applyFill="1" applyBorder="1" applyAlignment="1">
      <alignment vertical="center"/>
    </xf>
    <xf numFmtId="43" fontId="4" fillId="3" borderId="30" xfId="1" applyFont="1" applyFill="1" applyBorder="1" applyAlignment="1">
      <alignment horizontal="left" vertical="center"/>
    </xf>
    <xf numFmtId="0" fontId="4" fillId="3" borderId="30" xfId="2" applyFont="1" applyFill="1" applyBorder="1" applyAlignment="1">
      <alignment horizontal="center" vertical="center"/>
    </xf>
    <xf numFmtId="164" fontId="4" fillId="3" borderId="30" xfId="2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43" fontId="8" fillId="3" borderId="31" xfId="1" applyFont="1" applyFill="1" applyBorder="1" applyAlignment="1">
      <alignment vertical="center"/>
    </xf>
    <xf numFmtId="0" fontId="2" fillId="0" borderId="32" xfId="2" quotePrefix="1" applyFont="1" applyBorder="1" applyAlignment="1">
      <alignment horizontal="center" vertical="center"/>
    </xf>
    <xf numFmtId="43" fontId="2" fillId="0" borderId="33" xfId="1" applyFont="1" applyFill="1" applyBorder="1" applyAlignment="1">
      <alignment horizontal="left" vertical="center"/>
    </xf>
    <xf numFmtId="0" fontId="2" fillId="0" borderId="33" xfId="2" applyFont="1" applyBorder="1" applyAlignment="1">
      <alignment horizontal="left" vertical="center"/>
    </xf>
    <xf numFmtId="0" fontId="2" fillId="0" borderId="33" xfId="2" applyFont="1" applyBorder="1" applyAlignment="1">
      <alignment horizontal="center" vertical="center"/>
    </xf>
    <xf numFmtId="0" fontId="2" fillId="5" borderId="34" xfId="2" applyFont="1" applyFill="1" applyBorder="1" applyAlignment="1">
      <alignment horizontal="center" vertical="center"/>
    </xf>
    <xf numFmtId="43" fontId="4" fillId="5" borderId="35" xfId="1" applyFont="1" applyFill="1" applyBorder="1" applyAlignment="1">
      <alignment vertical="center"/>
    </xf>
    <xf numFmtId="0" fontId="4" fillId="5" borderId="35" xfId="2" applyFont="1" applyFill="1" applyBorder="1" applyAlignment="1">
      <alignment vertical="center"/>
    </xf>
    <xf numFmtId="43" fontId="4" fillId="5" borderId="35" xfId="1" applyFont="1" applyFill="1" applyBorder="1" applyAlignment="1">
      <alignment horizontal="left" vertical="center"/>
    </xf>
    <xf numFmtId="164" fontId="4" fillId="5" borderId="35" xfId="2" applyNumberFormat="1" applyFont="1" applyFill="1" applyBorder="1" applyAlignment="1">
      <alignment horizontal="right" vertical="center"/>
    </xf>
    <xf numFmtId="164" fontId="4" fillId="5" borderId="33" xfId="1" applyNumberFormat="1" applyFont="1" applyFill="1" applyBorder="1" applyAlignment="1">
      <alignment horizontal="center" vertical="center"/>
    </xf>
    <xf numFmtId="0" fontId="2" fillId="5" borderId="36" xfId="2" applyFont="1" applyFill="1" applyBorder="1" applyAlignment="1">
      <alignment horizontal="left" vertical="center"/>
    </xf>
    <xf numFmtId="0" fontId="4" fillId="5" borderId="36" xfId="2" applyFont="1" applyFill="1" applyBorder="1" applyAlignment="1">
      <alignment horizontal="center" vertical="center"/>
    </xf>
    <xf numFmtId="43" fontId="2" fillId="0" borderId="37" xfId="1" applyFont="1" applyBorder="1" applyAlignment="1">
      <alignment vertical="center"/>
    </xf>
    <xf numFmtId="0" fontId="8" fillId="3" borderId="38" xfId="2" applyFont="1" applyFill="1" applyBorder="1" applyAlignment="1">
      <alignment horizontal="center" vertical="center"/>
    </xf>
    <xf numFmtId="43" fontId="4" fillId="3" borderId="39" xfId="1" applyFont="1" applyFill="1" applyBorder="1" applyAlignment="1">
      <alignment vertical="center"/>
    </xf>
    <xf numFmtId="0" fontId="4" fillId="3" borderId="39" xfId="2" applyFont="1" applyFill="1" applyBorder="1" applyAlignment="1">
      <alignment vertical="center"/>
    </xf>
    <xf numFmtId="43" fontId="4" fillId="3" borderId="39" xfId="1" applyFont="1" applyFill="1" applyBorder="1" applyAlignment="1">
      <alignment horizontal="left" vertical="center"/>
    </xf>
    <xf numFmtId="0" fontId="4" fillId="3" borderId="39" xfId="2" applyFont="1" applyFill="1" applyBorder="1" applyAlignment="1">
      <alignment horizontal="center" vertical="center"/>
    </xf>
    <xf numFmtId="164" fontId="4" fillId="3" borderId="39" xfId="2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43" fontId="8" fillId="3" borderId="40" xfId="1" applyFont="1" applyFill="1" applyBorder="1" applyAlignment="1">
      <alignment vertical="center"/>
    </xf>
    <xf numFmtId="0" fontId="2" fillId="0" borderId="41" xfId="2" quotePrefix="1" applyFont="1" applyBorder="1" applyAlignment="1">
      <alignment horizontal="center" vertical="center"/>
    </xf>
    <xf numFmtId="43" fontId="2" fillId="0" borderId="42" xfId="1" applyFont="1" applyFill="1" applyBorder="1" applyAlignment="1">
      <alignment horizontal="left" vertical="center"/>
    </xf>
    <xf numFmtId="0" fontId="2" fillId="0" borderId="42" xfId="2" applyFont="1" applyBorder="1" applyAlignment="1">
      <alignment horizontal="left" vertical="center"/>
    </xf>
    <xf numFmtId="0" fontId="2" fillId="0" borderId="42" xfId="2" applyFont="1" applyBorder="1" applyAlignment="1">
      <alignment horizontal="center" vertical="center"/>
    </xf>
    <xf numFmtId="164" fontId="3" fillId="0" borderId="12" xfId="2" applyNumberFormat="1" applyFont="1" applyBorder="1" applyAlignment="1">
      <alignment horizontal="center" vertical="center"/>
    </xf>
    <xf numFmtId="164" fontId="3" fillId="0" borderId="12" xfId="2" quotePrefix="1" applyNumberFormat="1" applyFont="1" applyBorder="1" applyAlignment="1">
      <alignment horizontal="center" vertical="center"/>
    </xf>
    <xf numFmtId="43" fontId="2" fillId="5" borderId="43" xfId="1" applyFont="1" applyFill="1" applyBorder="1" applyAlignment="1">
      <alignment vertical="center"/>
    </xf>
    <xf numFmtId="43" fontId="4" fillId="5" borderId="43" xfId="1" applyFont="1" applyFill="1" applyBorder="1" applyAlignment="1">
      <alignment vertical="center"/>
    </xf>
    <xf numFmtId="0" fontId="4" fillId="5" borderId="43" xfId="2" applyFont="1" applyFill="1" applyBorder="1" applyAlignment="1">
      <alignment vertical="center"/>
    </xf>
    <xf numFmtId="43" fontId="4" fillId="5" borderId="43" xfId="1" applyFont="1" applyFill="1" applyBorder="1" applyAlignment="1">
      <alignment horizontal="left" vertical="center"/>
    </xf>
    <xf numFmtId="0" fontId="4" fillId="5" borderId="43" xfId="2" applyFont="1" applyFill="1" applyBorder="1" applyAlignment="1">
      <alignment horizontal="center" vertical="center"/>
    </xf>
    <xf numFmtId="164" fontId="4" fillId="5" borderId="43" xfId="2" applyNumberFormat="1" applyFont="1" applyFill="1" applyBorder="1" applyAlignment="1">
      <alignment horizontal="right" vertical="center"/>
    </xf>
    <xf numFmtId="164" fontId="4" fillId="5" borderId="42" xfId="1" applyNumberFormat="1" applyFont="1" applyFill="1" applyBorder="1" applyAlignment="1">
      <alignment horizontal="center" vertical="center"/>
    </xf>
    <xf numFmtId="0" fontId="2" fillId="5" borderId="44" xfId="2" applyFont="1" applyFill="1" applyBorder="1" applyAlignment="1">
      <alignment horizontal="left" vertical="center"/>
    </xf>
    <xf numFmtId="0" fontId="4" fillId="5" borderId="44" xfId="2" applyFont="1" applyFill="1" applyBorder="1" applyAlignment="1">
      <alignment horizontal="center" vertical="center"/>
    </xf>
    <xf numFmtId="43" fontId="2" fillId="3" borderId="45" xfId="1" applyFont="1" applyFill="1" applyBorder="1" applyAlignment="1">
      <alignment vertical="center"/>
    </xf>
    <xf numFmtId="0" fontId="8" fillId="3" borderId="46" xfId="2" applyFont="1" applyFill="1" applyBorder="1" applyAlignment="1">
      <alignment horizontal="center" vertical="center"/>
    </xf>
    <xf numFmtId="43" fontId="4" fillId="3" borderId="47" xfId="1" applyFont="1" applyFill="1" applyBorder="1" applyAlignment="1">
      <alignment vertical="center"/>
    </xf>
    <xf numFmtId="0" fontId="4" fillId="3" borderId="47" xfId="2" applyFont="1" applyFill="1" applyBorder="1" applyAlignment="1">
      <alignment vertical="center"/>
    </xf>
    <xf numFmtId="43" fontId="4" fillId="3" borderId="47" xfId="1" applyFont="1" applyFill="1" applyBorder="1" applyAlignment="1">
      <alignment horizontal="left" vertical="center"/>
    </xf>
    <xf numFmtId="0" fontId="4" fillId="3" borderId="47" xfId="2" applyFont="1" applyFill="1" applyBorder="1" applyAlignment="1">
      <alignment horizontal="center" vertical="center"/>
    </xf>
    <xf numFmtId="164" fontId="4" fillId="3" borderId="47" xfId="2" applyNumberFormat="1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43" fontId="8" fillId="3" borderId="48" xfId="1" applyFont="1" applyFill="1" applyBorder="1" applyAlignment="1">
      <alignment vertical="center"/>
    </xf>
    <xf numFmtId="0" fontId="2" fillId="0" borderId="49" xfId="2" quotePrefix="1" applyFont="1" applyBorder="1" applyAlignment="1">
      <alignment horizontal="center" vertical="center"/>
    </xf>
    <xf numFmtId="43" fontId="2" fillId="0" borderId="50" xfId="1" applyFont="1" applyFill="1" applyBorder="1" applyAlignment="1">
      <alignment horizontal="left" vertical="center"/>
    </xf>
    <xf numFmtId="0" fontId="4" fillId="0" borderId="50" xfId="2" applyFont="1" applyBorder="1" applyAlignment="1">
      <alignment horizontal="left" vertical="center"/>
    </xf>
    <xf numFmtId="0" fontId="4" fillId="0" borderId="50" xfId="2" applyFont="1" applyBorder="1" applyAlignment="1">
      <alignment horizontal="center" vertical="center"/>
    </xf>
    <xf numFmtId="0" fontId="2" fillId="5" borderId="51" xfId="2" applyFont="1" applyFill="1" applyBorder="1" applyAlignment="1">
      <alignment horizontal="center" vertical="center"/>
    </xf>
    <xf numFmtId="43" fontId="4" fillId="5" borderId="52" xfId="1" applyFont="1" applyFill="1" applyBorder="1" applyAlignment="1">
      <alignment vertical="center"/>
    </xf>
    <xf numFmtId="0" fontId="4" fillId="5" borderId="52" xfId="2" applyFont="1" applyFill="1" applyBorder="1" applyAlignment="1">
      <alignment vertical="center"/>
    </xf>
    <xf numFmtId="43" fontId="4" fillId="5" borderId="52" xfId="1" applyFont="1" applyFill="1" applyBorder="1" applyAlignment="1">
      <alignment horizontal="left" vertical="center"/>
    </xf>
    <xf numFmtId="0" fontId="4" fillId="5" borderId="52" xfId="2" applyFont="1" applyFill="1" applyBorder="1" applyAlignment="1">
      <alignment horizontal="center" vertical="center"/>
    </xf>
    <xf numFmtId="164" fontId="4" fillId="5" borderId="52" xfId="2" applyNumberFormat="1" applyFont="1" applyFill="1" applyBorder="1" applyAlignment="1">
      <alignment horizontal="right" vertical="center"/>
    </xf>
    <xf numFmtId="164" fontId="4" fillId="5" borderId="50" xfId="1" applyNumberFormat="1" applyFont="1" applyFill="1" applyBorder="1" applyAlignment="1">
      <alignment horizontal="center" vertical="center"/>
    </xf>
    <xf numFmtId="0" fontId="2" fillId="5" borderId="53" xfId="2" applyFont="1" applyFill="1" applyBorder="1" applyAlignment="1">
      <alignment horizontal="left" vertical="center"/>
    </xf>
    <xf numFmtId="0" fontId="4" fillId="5" borderId="53" xfId="2" applyFont="1" applyFill="1" applyBorder="1" applyAlignment="1">
      <alignment horizontal="center" vertical="center"/>
    </xf>
    <xf numFmtId="43" fontId="2" fillId="0" borderId="54" xfId="1" applyFont="1" applyBorder="1" applyAlignment="1">
      <alignment vertical="center"/>
    </xf>
    <xf numFmtId="0" fontId="8" fillId="3" borderId="55" xfId="2" applyFont="1" applyFill="1" applyBorder="1" applyAlignment="1">
      <alignment horizontal="center" vertical="center"/>
    </xf>
    <xf numFmtId="43" fontId="4" fillId="3" borderId="56" xfId="1" applyFont="1" applyFill="1" applyBorder="1" applyAlignment="1">
      <alignment vertical="center"/>
    </xf>
    <xf numFmtId="0" fontId="4" fillId="3" borderId="56" xfId="2" applyFont="1" applyFill="1" applyBorder="1" applyAlignment="1">
      <alignment vertical="center"/>
    </xf>
    <xf numFmtId="43" fontId="4" fillId="3" borderId="56" xfId="1" applyFont="1" applyFill="1" applyBorder="1" applyAlignment="1">
      <alignment horizontal="left" vertical="center"/>
    </xf>
    <xf numFmtId="0" fontId="4" fillId="3" borderId="56" xfId="2" applyFont="1" applyFill="1" applyBorder="1" applyAlignment="1">
      <alignment horizontal="center" vertical="center"/>
    </xf>
    <xf numFmtId="164" fontId="4" fillId="3" borderId="56" xfId="2" applyNumberFormat="1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43" fontId="8" fillId="3" borderId="57" xfId="1" applyFont="1" applyFill="1" applyBorder="1" applyAlignment="1">
      <alignment vertical="center"/>
    </xf>
    <xf numFmtId="0" fontId="2" fillId="0" borderId="58" xfId="2" quotePrefix="1" applyFont="1" applyBorder="1" applyAlignment="1">
      <alignment horizontal="center" vertical="center"/>
    </xf>
    <xf numFmtId="43" fontId="2" fillId="0" borderId="59" xfId="1" applyFont="1" applyFill="1" applyBorder="1" applyAlignment="1">
      <alignment horizontal="left" vertical="center"/>
    </xf>
    <xf numFmtId="0" fontId="4" fillId="0" borderId="59" xfId="2" applyFont="1" applyBorder="1" applyAlignment="1">
      <alignment horizontal="left" vertical="center"/>
    </xf>
    <xf numFmtId="0" fontId="4" fillId="0" borderId="59" xfId="2" applyFont="1" applyBorder="1" applyAlignment="1">
      <alignment horizontal="center" vertical="center"/>
    </xf>
    <xf numFmtId="164" fontId="8" fillId="0" borderId="59" xfId="2" quotePrefix="1" applyNumberFormat="1" applyFont="1" applyBorder="1" applyAlignment="1">
      <alignment horizontal="center" vertical="center"/>
    </xf>
    <xf numFmtId="164" fontId="2" fillId="0" borderId="59" xfId="2" applyNumberFormat="1" applyFont="1" applyBorder="1" applyAlignment="1">
      <alignment horizontal="center" vertical="center"/>
    </xf>
    <xf numFmtId="0" fontId="2" fillId="0" borderId="60" xfId="2" applyFont="1" applyBorder="1" applyAlignment="1">
      <alignment horizontal="left" vertical="center"/>
    </xf>
    <xf numFmtId="0" fontId="2" fillId="0" borderId="60" xfId="2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43" fontId="2" fillId="0" borderId="61" xfId="1" applyFont="1" applyBorder="1" applyAlignment="1">
      <alignment vertical="center"/>
    </xf>
    <xf numFmtId="164" fontId="3" fillId="0" borderId="59" xfId="2" quotePrefix="1" applyNumberFormat="1" applyFont="1" applyBorder="1" applyAlignment="1">
      <alignment horizontal="center" vertical="center"/>
    </xf>
    <xf numFmtId="0" fontId="2" fillId="0" borderId="59" xfId="2" applyFont="1" applyBorder="1" applyAlignment="1">
      <alignment horizontal="left" vertical="center"/>
    </xf>
    <xf numFmtId="0" fontId="2" fillId="0" borderId="59" xfId="2" applyFont="1" applyBorder="1" applyAlignment="1">
      <alignment horizontal="center" vertical="center"/>
    </xf>
    <xf numFmtId="164" fontId="2" fillId="0" borderId="59" xfId="2" quotePrefix="1" applyNumberFormat="1" applyFont="1" applyBorder="1" applyAlignment="1">
      <alignment horizontal="center" vertical="center"/>
    </xf>
    <xf numFmtId="43" fontId="3" fillId="3" borderId="12" xfId="1" applyFont="1" applyFill="1" applyBorder="1" applyAlignment="1">
      <alignment horizontal="left" vertical="center"/>
    </xf>
    <xf numFmtId="43" fontId="3" fillId="0" borderId="61" xfId="1" applyFont="1" applyBorder="1" applyAlignment="1">
      <alignment vertical="center"/>
    </xf>
    <xf numFmtId="0" fontId="2" fillId="5" borderId="62" xfId="2" applyFont="1" applyFill="1" applyBorder="1" applyAlignment="1">
      <alignment horizontal="center" vertical="center"/>
    </xf>
    <xf numFmtId="43" fontId="4" fillId="5" borderId="63" xfId="1" applyFont="1" applyFill="1" applyBorder="1" applyAlignment="1">
      <alignment vertical="center"/>
    </xf>
    <xf numFmtId="0" fontId="4" fillId="5" borderId="63" xfId="2" applyFont="1" applyFill="1" applyBorder="1" applyAlignment="1">
      <alignment vertical="center"/>
    </xf>
    <xf numFmtId="43" fontId="4" fillId="5" borderId="63" xfId="1" applyFont="1" applyFill="1" applyBorder="1" applyAlignment="1">
      <alignment horizontal="left" vertical="center"/>
    </xf>
    <xf numFmtId="0" fontId="4" fillId="5" borderId="63" xfId="2" applyFont="1" applyFill="1" applyBorder="1" applyAlignment="1">
      <alignment horizontal="center" vertical="center"/>
    </xf>
    <xf numFmtId="164" fontId="4" fillId="5" borderId="63" xfId="2" applyNumberFormat="1" applyFont="1" applyFill="1" applyBorder="1" applyAlignment="1">
      <alignment horizontal="right" vertical="center"/>
    </xf>
    <xf numFmtId="164" fontId="4" fillId="5" borderId="59" xfId="1" applyNumberFormat="1" applyFont="1" applyFill="1" applyBorder="1" applyAlignment="1">
      <alignment horizontal="center" vertical="center"/>
    </xf>
    <xf numFmtId="0" fontId="2" fillId="5" borderId="60" xfId="2" applyFont="1" applyFill="1" applyBorder="1" applyAlignment="1">
      <alignment horizontal="left" vertical="center"/>
    </xf>
    <xf numFmtId="0" fontId="4" fillId="5" borderId="60" xfId="2" applyFont="1" applyFill="1" applyBorder="1" applyAlignment="1">
      <alignment horizontal="center" vertical="center"/>
    </xf>
    <xf numFmtId="43" fontId="2" fillId="3" borderId="61" xfId="1" applyFont="1" applyFill="1" applyBorder="1" applyAlignment="1">
      <alignment vertical="center"/>
    </xf>
    <xf numFmtId="43" fontId="7" fillId="0" borderId="19" xfId="1" applyFont="1" applyBorder="1" applyAlignment="1">
      <alignment vertical="center"/>
    </xf>
    <xf numFmtId="0" fontId="4" fillId="5" borderId="61" xfId="0" applyFont="1" applyFill="1" applyBorder="1" applyAlignment="1">
      <alignment horizontal="center" vertical="center"/>
    </xf>
    <xf numFmtId="43" fontId="2" fillId="0" borderId="61" xfId="1" applyFont="1" applyFill="1" applyBorder="1" applyAlignment="1">
      <alignment vertical="center"/>
    </xf>
    <xf numFmtId="0" fontId="8" fillId="3" borderId="64" xfId="2" applyFont="1" applyFill="1" applyBorder="1" applyAlignment="1">
      <alignment horizontal="center" vertical="center"/>
    </xf>
    <xf numFmtId="43" fontId="4" fillId="3" borderId="65" xfId="1" applyFont="1" applyFill="1" applyBorder="1" applyAlignment="1">
      <alignment vertical="center"/>
    </xf>
    <xf numFmtId="0" fontId="4" fillId="3" borderId="65" xfId="2" applyFont="1" applyFill="1" applyBorder="1" applyAlignment="1">
      <alignment vertical="center"/>
    </xf>
    <xf numFmtId="43" fontId="4" fillId="3" borderId="65" xfId="1" applyFont="1" applyFill="1" applyBorder="1" applyAlignment="1">
      <alignment horizontal="left" vertical="center"/>
    </xf>
    <xf numFmtId="0" fontId="4" fillId="3" borderId="65" xfId="2" applyFont="1" applyFill="1" applyBorder="1" applyAlignment="1">
      <alignment horizontal="center" vertical="center"/>
    </xf>
    <xf numFmtId="164" fontId="4" fillId="3" borderId="65" xfId="2" applyNumberFormat="1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43" fontId="8" fillId="3" borderId="66" xfId="1" applyFont="1" applyFill="1" applyBorder="1" applyAlignment="1">
      <alignment vertical="center"/>
    </xf>
    <xf numFmtId="0" fontId="2" fillId="0" borderId="67" xfId="2" quotePrefix="1" applyFont="1" applyBorder="1" applyAlignment="1">
      <alignment horizontal="center" vertical="center"/>
    </xf>
    <xf numFmtId="43" fontId="2" fillId="0" borderId="68" xfId="1" applyFont="1" applyFill="1" applyBorder="1" applyAlignment="1">
      <alignment horizontal="left" vertical="center"/>
    </xf>
    <xf numFmtId="0" fontId="2" fillId="0" borderId="68" xfId="2" applyFont="1" applyBorder="1" applyAlignment="1">
      <alignment horizontal="left" vertical="center"/>
    </xf>
    <xf numFmtId="0" fontId="2" fillId="0" borderId="68" xfId="2" applyFont="1" applyBorder="1" applyAlignment="1">
      <alignment horizontal="center" vertical="center"/>
    </xf>
    <xf numFmtId="164" fontId="3" fillId="0" borderId="68" xfId="2" quotePrefix="1" applyNumberFormat="1" applyFont="1" applyBorder="1" applyAlignment="1">
      <alignment horizontal="center" vertical="center"/>
    </xf>
    <xf numFmtId="164" fontId="2" fillId="0" borderId="68" xfId="2" applyNumberFormat="1" applyFont="1" applyBorder="1" applyAlignment="1">
      <alignment horizontal="center" vertical="center"/>
    </xf>
    <xf numFmtId="0" fontId="2" fillId="0" borderId="69" xfId="2" applyFont="1" applyBorder="1" applyAlignment="1">
      <alignment horizontal="left" vertical="center"/>
    </xf>
    <xf numFmtId="0" fontId="2" fillId="0" borderId="69" xfId="2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43" fontId="2" fillId="0" borderId="70" xfId="1" applyFont="1" applyBorder="1" applyAlignment="1">
      <alignment vertical="center"/>
    </xf>
    <xf numFmtId="164" fontId="8" fillId="0" borderId="68" xfId="2" quotePrefix="1" applyNumberFormat="1" applyFont="1" applyBorder="1" applyAlignment="1">
      <alignment horizontal="center" vertical="center"/>
    </xf>
    <xf numFmtId="164" fontId="2" fillId="0" borderId="68" xfId="2" quotePrefix="1" applyNumberFormat="1" applyFont="1" applyBorder="1" applyAlignment="1">
      <alignment horizontal="center" vertical="center"/>
    </xf>
    <xf numFmtId="0" fontId="2" fillId="5" borderId="71" xfId="2" applyFont="1" applyFill="1" applyBorder="1" applyAlignment="1">
      <alignment horizontal="center" vertical="center"/>
    </xf>
    <xf numFmtId="43" fontId="4" fillId="5" borderId="72" xfId="1" applyFont="1" applyFill="1" applyBorder="1" applyAlignment="1">
      <alignment vertical="center"/>
    </xf>
    <xf numFmtId="0" fontId="4" fillId="5" borderId="72" xfId="2" applyFont="1" applyFill="1" applyBorder="1" applyAlignment="1">
      <alignment vertical="center"/>
    </xf>
    <xf numFmtId="43" fontId="4" fillId="5" borderId="72" xfId="1" applyFont="1" applyFill="1" applyBorder="1" applyAlignment="1">
      <alignment horizontal="left" vertical="center"/>
    </xf>
    <xf numFmtId="0" fontId="4" fillId="5" borderId="72" xfId="2" applyFont="1" applyFill="1" applyBorder="1" applyAlignment="1">
      <alignment horizontal="center" vertical="center"/>
    </xf>
    <xf numFmtId="164" fontId="4" fillId="5" borderId="72" xfId="2" applyNumberFormat="1" applyFont="1" applyFill="1" applyBorder="1" applyAlignment="1">
      <alignment horizontal="right" vertical="center"/>
    </xf>
    <xf numFmtId="164" fontId="4" fillId="5" borderId="68" xfId="1" applyNumberFormat="1" applyFont="1" applyFill="1" applyBorder="1" applyAlignment="1">
      <alignment horizontal="center" vertical="center"/>
    </xf>
    <xf numFmtId="0" fontId="2" fillId="5" borderId="69" xfId="2" applyFont="1" applyFill="1" applyBorder="1" applyAlignment="1">
      <alignment horizontal="left" vertical="center"/>
    </xf>
    <xf numFmtId="0" fontId="4" fillId="5" borderId="70" xfId="0" applyFont="1" applyFill="1" applyBorder="1" applyAlignment="1">
      <alignment horizontal="center" vertical="center"/>
    </xf>
    <xf numFmtId="43" fontId="2" fillId="3" borderId="70" xfId="1" applyFont="1" applyFill="1" applyBorder="1" applyAlignment="1">
      <alignment vertical="center"/>
    </xf>
    <xf numFmtId="0" fontId="8" fillId="3" borderId="73" xfId="2" applyFont="1" applyFill="1" applyBorder="1" applyAlignment="1">
      <alignment horizontal="center" vertical="center"/>
    </xf>
    <xf numFmtId="43" fontId="4" fillId="3" borderId="74" xfId="1" applyFont="1" applyFill="1" applyBorder="1" applyAlignment="1">
      <alignment vertical="center"/>
    </xf>
    <xf numFmtId="0" fontId="4" fillId="3" borderId="74" xfId="2" applyFont="1" applyFill="1" applyBorder="1" applyAlignment="1">
      <alignment vertical="center"/>
    </xf>
    <xf numFmtId="43" fontId="4" fillId="3" borderId="74" xfId="1" applyFont="1" applyFill="1" applyBorder="1" applyAlignment="1">
      <alignment horizontal="left" vertical="center"/>
    </xf>
    <xf numFmtId="0" fontId="4" fillId="3" borderId="74" xfId="2" applyFont="1" applyFill="1" applyBorder="1" applyAlignment="1">
      <alignment horizontal="center" vertical="center"/>
    </xf>
    <xf numFmtId="164" fontId="4" fillId="3" borderId="74" xfId="2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43" fontId="8" fillId="3" borderId="75" xfId="1" applyFont="1" applyFill="1" applyBorder="1" applyAlignment="1">
      <alignment vertical="center"/>
    </xf>
    <xf numFmtId="0" fontId="2" fillId="0" borderId="76" xfId="2" quotePrefix="1" applyFont="1" applyBorder="1" applyAlignment="1">
      <alignment horizontal="center" vertical="center"/>
    </xf>
    <xf numFmtId="43" fontId="2" fillId="0" borderId="77" xfId="1" applyFont="1" applyFill="1" applyBorder="1" applyAlignment="1">
      <alignment horizontal="left" vertical="center"/>
    </xf>
    <xf numFmtId="0" fontId="4" fillId="0" borderId="77" xfId="2" applyFont="1" applyBorder="1" applyAlignment="1">
      <alignment horizontal="left" vertical="center"/>
    </xf>
    <xf numFmtId="0" fontId="4" fillId="0" borderId="77" xfId="2" applyFont="1" applyBorder="1" applyAlignment="1">
      <alignment horizontal="center" vertical="center"/>
    </xf>
    <xf numFmtId="164" fontId="3" fillId="0" borderId="77" xfId="2" quotePrefix="1" applyNumberFormat="1" applyFont="1" applyBorder="1" applyAlignment="1">
      <alignment horizontal="center" vertical="center"/>
    </xf>
    <xf numFmtId="164" fontId="2" fillId="0" borderId="77" xfId="2" applyNumberFormat="1" applyFont="1" applyBorder="1" applyAlignment="1">
      <alignment horizontal="center" vertical="center"/>
    </xf>
    <xf numFmtId="0" fontId="2" fillId="0" borderId="78" xfId="2" applyFont="1" applyBorder="1" applyAlignment="1">
      <alignment horizontal="left" vertical="center"/>
    </xf>
    <xf numFmtId="0" fontId="2" fillId="0" borderId="78" xfId="2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43" fontId="2" fillId="0" borderId="79" xfId="1" applyFont="1" applyBorder="1" applyAlignment="1">
      <alignment vertical="center"/>
    </xf>
    <xf numFmtId="164" fontId="2" fillId="0" borderId="77" xfId="2" quotePrefix="1" applyNumberFormat="1" applyFont="1" applyBorder="1" applyAlignment="1">
      <alignment horizontal="center" vertical="center"/>
    </xf>
    <xf numFmtId="164" fontId="8" fillId="0" borderId="77" xfId="2" quotePrefix="1" applyNumberFormat="1" applyFont="1" applyBorder="1" applyAlignment="1">
      <alignment horizontal="center" vertical="center"/>
    </xf>
    <xf numFmtId="0" fontId="2" fillId="5" borderId="80" xfId="2" applyFont="1" applyFill="1" applyBorder="1" applyAlignment="1">
      <alignment horizontal="center" vertical="center"/>
    </xf>
    <xf numFmtId="43" fontId="4" fillId="5" borderId="81" xfId="1" applyFont="1" applyFill="1" applyBorder="1" applyAlignment="1">
      <alignment vertical="center"/>
    </xf>
    <xf numFmtId="0" fontId="4" fillId="5" borderId="81" xfId="2" applyFont="1" applyFill="1" applyBorder="1" applyAlignment="1">
      <alignment vertical="center"/>
    </xf>
    <xf numFmtId="43" fontId="4" fillId="5" borderId="81" xfId="1" applyFont="1" applyFill="1" applyBorder="1" applyAlignment="1">
      <alignment horizontal="left" vertical="center"/>
    </xf>
    <xf numFmtId="0" fontId="4" fillId="5" borderId="81" xfId="2" applyFont="1" applyFill="1" applyBorder="1" applyAlignment="1">
      <alignment horizontal="center" vertical="center"/>
    </xf>
    <xf numFmtId="164" fontId="4" fillId="5" borderId="81" xfId="2" applyNumberFormat="1" applyFont="1" applyFill="1" applyBorder="1" applyAlignment="1">
      <alignment horizontal="center" vertical="center"/>
    </xf>
    <xf numFmtId="164" fontId="4" fillId="5" borderId="77" xfId="1" applyNumberFormat="1" applyFont="1" applyFill="1" applyBorder="1" applyAlignment="1">
      <alignment horizontal="center" vertical="center"/>
    </xf>
    <xf numFmtId="0" fontId="2" fillId="5" borderId="78" xfId="2" applyFont="1" applyFill="1" applyBorder="1" applyAlignment="1">
      <alignment horizontal="left" vertical="center"/>
    </xf>
    <xf numFmtId="0" fontId="4" fillId="5" borderId="78" xfId="2" applyFont="1" applyFill="1" applyBorder="1" applyAlignment="1">
      <alignment horizontal="center" vertical="center"/>
    </xf>
    <xf numFmtId="0" fontId="8" fillId="3" borderId="82" xfId="2" applyFont="1" applyFill="1" applyBorder="1" applyAlignment="1">
      <alignment horizontal="center" vertical="center"/>
    </xf>
    <xf numFmtId="43" fontId="4" fillId="3" borderId="83" xfId="1" applyFont="1" applyFill="1" applyBorder="1" applyAlignment="1">
      <alignment vertical="center"/>
    </xf>
    <xf numFmtId="0" fontId="4" fillId="3" borderId="83" xfId="2" applyFont="1" applyFill="1" applyBorder="1" applyAlignment="1">
      <alignment vertical="center"/>
    </xf>
    <xf numFmtId="43" fontId="4" fillId="3" borderId="83" xfId="1" applyFont="1" applyFill="1" applyBorder="1" applyAlignment="1">
      <alignment horizontal="left" vertical="center"/>
    </xf>
    <xf numFmtId="0" fontId="4" fillId="3" borderId="83" xfId="2" applyFont="1" applyFill="1" applyBorder="1" applyAlignment="1">
      <alignment horizontal="center" vertical="center"/>
    </xf>
    <xf numFmtId="164" fontId="4" fillId="3" borderId="83" xfId="2" applyNumberFormat="1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 vertical="center"/>
    </xf>
    <xf numFmtId="43" fontId="8" fillId="3" borderId="84" xfId="1" applyFont="1" applyFill="1" applyBorder="1" applyAlignment="1">
      <alignment vertical="center"/>
    </xf>
    <xf numFmtId="0" fontId="2" fillId="0" borderId="85" xfId="2" quotePrefix="1" applyFont="1" applyBorder="1" applyAlignment="1">
      <alignment horizontal="center" vertical="center"/>
    </xf>
    <xf numFmtId="43" fontId="2" fillId="0" borderId="86" xfId="1" applyFont="1" applyFill="1" applyBorder="1" applyAlignment="1">
      <alignment horizontal="left" vertical="center"/>
    </xf>
    <xf numFmtId="0" fontId="4" fillId="0" borderId="86" xfId="2" applyFont="1" applyBorder="1" applyAlignment="1">
      <alignment horizontal="left" vertical="center"/>
    </xf>
    <xf numFmtId="0" fontId="4" fillId="0" borderId="86" xfId="2" applyFont="1" applyBorder="1" applyAlignment="1">
      <alignment horizontal="center" vertical="center"/>
    </xf>
    <xf numFmtId="164" fontId="3" fillId="0" borderId="86" xfId="2" quotePrefix="1" applyNumberFormat="1" applyFont="1" applyBorder="1" applyAlignment="1">
      <alignment horizontal="center" vertical="center"/>
    </xf>
    <xf numFmtId="164" fontId="2" fillId="0" borderId="86" xfId="2" applyNumberFormat="1" applyFont="1" applyBorder="1" applyAlignment="1">
      <alignment horizontal="center" vertical="center"/>
    </xf>
    <xf numFmtId="0" fontId="2" fillId="0" borderId="87" xfId="2" applyFont="1" applyBorder="1" applyAlignment="1">
      <alignment horizontal="left" vertical="center"/>
    </xf>
    <xf numFmtId="0" fontId="2" fillId="0" borderId="87" xfId="2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43" fontId="2" fillId="0" borderId="88" xfId="1" applyFont="1" applyBorder="1" applyAlignment="1">
      <alignment vertical="center"/>
    </xf>
    <xf numFmtId="164" fontId="8" fillId="0" borderId="86" xfId="2" quotePrefix="1" applyNumberFormat="1" applyFont="1" applyBorder="1" applyAlignment="1">
      <alignment horizontal="center" vertical="center"/>
    </xf>
    <xf numFmtId="164" fontId="2" fillId="0" borderId="86" xfId="2" quotePrefix="1" applyNumberFormat="1" applyFont="1" applyBorder="1" applyAlignment="1">
      <alignment horizontal="center" vertical="center"/>
    </xf>
    <xf numFmtId="0" fontId="2" fillId="5" borderId="89" xfId="2" applyFont="1" applyFill="1" applyBorder="1" applyAlignment="1">
      <alignment horizontal="center" vertical="center"/>
    </xf>
    <xf numFmtId="43" fontId="4" fillId="5" borderId="90" xfId="1" applyFont="1" applyFill="1" applyBorder="1" applyAlignment="1">
      <alignment vertical="center"/>
    </xf>
    <xf numFmtId="0" fontId="4" fillId="5" borderId="90" xfId="2" applyFont="1" applyFill="1" applyBorder="1" applyAlignment="1">
      <alignment vertical="center"/>
    </xf>
    <xf numFmtId="43" fontId="4" fillId="5" borderId="90" xfId="1" applyFont="1" applyFill="1" applyBorder="1" applyAlignment="1">
      <alignment horizontal="left" vertical="center"/>
    </xf>
    <xf numFmtId="0" fontId="4" fillId="5" borderId="90" xfId="2" applyFont="1" applyFill="1" applyBorder="1" applyAlignment="1">
      <alignment horizontal="center" vertical="center"/>
    </xf>
    <xf numFmtId="164" fontId="4" fillId="5" borderId="90" xfId="2" applyNumberFormat="1" applyFont="1" applyFill="1" applyBorder="1" applyAlignment="1">
      <alignment horizontal="right" vertical="center"/>
    </xf>
    <xf numFmtId="164" fontId="4" fillId="5" borderId="86" xfId="1" applyNumberFormat="1" applyFont="1" applyFill="1" applyBorder="1" applyAlignment="1">
      <alignment horizontal="center" vertical="center"/>
    </xf>
    <xf numFmtId="0" fontId="2" fillId="5" borderId="87" xfId="2" applyFont="1" applyFill="1" applyBorder="1" applyAlignment="1">
      <alignment horizontal="left" vertical="center"/>
    </xf>
    <xf numFmtId="0" fontId="4" fillId="5" borderId="87" xfId="2" applyFont="1" applyFill="1" applyBorder="1" applyAlignment="1">
      <alignment horizontal="center" vertical="center"/>
    </xf>
    <xf numFmtId="0" fontId="4" fillId="5" borderId="88" xfId="0" applyFont="1" applyFill="1" applyBorder="1" applyAlignment="1">
      <alignment horizontal="center" vertical="center"/>
    </xf>
    <xf numFmtId="0" fontId="8" fillId="3" borderId="91" xfId="2" applyFont="1" applyFill="1" applyBorder="1" applyAlignment="1">
      <alignment horizontal="center" vertical="center"/>
    </xf>
    <xf numFmtId="43" fontId="4" fillId="3" borderId="92" xfId="1" applyFont="1" applyFill="1" applyBorder="1" applyAlignment="1">
      <alignment vertical="center"/>
    </xf>
    <xf numFmtId="0" fontId="4" fillId="3" borderId="92" xfId="2" applyFont="1" applyFill="1" applyBorder="1" applyAlignment="1">
      <alignment vertical="center"/>
    </xf>
    <xf numFmtId="43" fontId="4" fillId="3" borderId="92" xfId="1" applyFont="1" applyFill="1" applyBorder="1" applyAlignment="1">
      <alignment horizontal="left" vertical="center"/>
    </xf>
    <xf numFmtId="0" fontId="4" fillId="3" borderId="92" xfId="2" applyFont="1" applyFill="1" applyBorder="1" applyAlignment="1">
      <alignment horizontal="center" vertical="center"/>
    </xf>
    <xf numFmtId="164" fontId="4" fillId="3" borderId="92" xfId="2" applyNumberFormat="1" applyFont="1" applyFill="1" applyBorder="1" applyAlignment="1">
      <alignment horizontal="center" vertical="center"/>
    </xf>
    <xf numFmtId="0" fontId="4" fillId="3" borderId="92" xfId="0" applyFont="1" applyFill="1" applyBorder="1" applyAlignment="1">
      <alignment horizontal="center" vertical="center"/>
    </xf>
    <xf numFmtId="43" fontId="8" fillId="3" borderId="93" xfId="1" applyFont="1" applyFill="1" applyBorder="1" applyAlignment="1">
      <alignment vertical="center"/>
    </xf>
    <xf numFmtId="0" fontId="2" fillId="0" borderId="94" xfId="2" quotePrefix="1" applyFont="1" applyBorder="1" applyAlignment="1">
      <alignment horizontal="center" vertical="center"/>
    </xf>
    <xf numFmtId="43" fontId="2" fillId="0" borderId="95" xfId="1" applyFont="1" applyFill="1" applyBorder="1" applyAlignment="1">
      <alignment horizontal="left" vertical="center"/>
    </xf>
    <xf numFmtId="0" fontId="4" fillId="0" borderId="95" xfId="2" applyFont="1" applyBorder="1" applyAlignment="1">
      <alignment horizontal="left" vertical="center"/>
    </xf>
    <xf numFmtId="0" fontId="4" fillId="0" borderId="95" xfId="2" applyFont="1" applyBorder="1" applyAlignment="1">
      <alignment horizontal="center" vertical="center"/>
    </xf>
    <xf numFmtId="164" fontId="3" fillId="0" borderId="95" xfId="2" quotePrefix="1" applyNumberFormat="1" applyFont="1" applyBorder="1" applyAlignment="1">
      <alignment horizontal="center" vertical="center"/>
    </xf>
    <xf numFmtId="164" fontId="2" fillId="0" borderId="95" xfId="2" applyNumberFormat="1" applyFont="1" applyBorder="1" applyAlignment="1">
      <alignment horizontal="center" vertical="center"/>
    </xf>
    <xf numFmtId="0" fontId="2" fillId="0" borderId="96" xfId="2" applyFont="1" applyBorder="1" applyAlignment="1">
      <alignment horizontal="left" vertical="center"/>
    </xf>
    <xf numFmtId="0" fontId="2" fillId="0" borderId="96" xfId="2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43" fontId="2" fillId="0" borderId="97" xfId="1" applyFont="1" applyBorder="1" applyAlignment="1">
      <alignment vertical="center"/>
    </xf>
    <xf numFmtId="164" fontId="8" fillId="0" borderId="95" xfId="2" quotePrefix="1" applyNumberFormat="1" applyFont="1" applyBorder="1" applyAlignment="1">
      <alignment horizontal="center" vertical="center"/>
    </xf>
    <xf numFmtId="164" fontId="2" fillId="0" borderId="95" xfId="2" quotePrefix="1" applyNumberFormat="1" applyFont="1" applyBorder="1" applyAlignment="1">
      <alignment horizontal="center" vertical="center"/>
    </xf>
    <xf numFmtId="0" fontId="2" fillId="5" borderId="98" xfId="2" applyFont="1" applyFill="1" applyBorder="1" applyAlignment="1">
      <alignment horizontal="center" vertical="center"/>
    </xf>
    <xf numFmtId="43" fontId="4" fillId="5" borderId="99" xfId="1" applyFont="1" applyFill="1" applyBorder="1" applyAlignment="1">
      <alignment vertical="center"/>
    </xf>
    <xf numFmtId="0" fontId="4" fillId="5" borderId="99" xfId="2" applyFont="1" applyFill="1" applyBorder="1" applyAlignment="1">
      <alignment vertical="center"/>
    </xf>
    <xf numFmtId="43" fontId="4" fillId="5" borderId="99" xfId="1" applyFont="1" applyFill="1" applyBorder="1" applyAlignment="1">
      <alignment horizontal="left" vertical="center"/>
    </xf>
    <xf numFmtId="0" fontId="4" fillId="5" borderId="99" xfId="2" applyFont="1" applyFill="1" applyBorder="1" applyAlignment="1">
      <alignment horizontal="center" vertical="center"/>
    </xf>
    <xf numFmtId="164" fontId="4" fillId="5" borderId="99" xfId="2" applyNumberFormat="1" applyFont="1" applyFill="1" applyBorder="1" applyAlignment="1">
      <alignment horizontal="right" vertical="center"/>
    </xf>
    <xf numFmtId="164" fontId="4" fillId="5" borderId="95" xfId="1" applyNumberFormat="1" applyFont="1" applyFill="1" applyBorder="1" applyAlignment="1">
      <alignment horizontal="center" vertical="center"/>
    </xf>
    <xf numFmtId="0" fontId="2" fillId="5" borderId="96" xfId="2" applyFont="1" applyFill="1" applyBorder="1" applyAlignment="1">
      <alignment horizontal="left" vertical="center"/>
    </xf>
    <xf numFmtId="0" fontId="4" fillId="5" borderId="96" xfId="2" applyFont="1" applyFill="1" applyBorder="1" applyAlignment="1">
      <alignment horizontal="center" vertical="center"/>
    </xf>
    <xf numFmtId="0" fontId="2" fillId="0" borderId="95" xfId="2" applyFont="1" applyBorder="1" applyAlignment="1">
      <alignment horizontal="left" vertical="center"/>
    </xf>
    <xf numFmtId="0" fontId="2" fillId="0" borderId="95" xfId="2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4" fillId="5" borderId="97" xfId="0" applyFont="1" applyFill="1" applyBorder="1" applyAlignment="1">
      <alignment horizontal="center" vertical="center"/>
    </xf>
    <xf numFmtId="43" fontId="2" fillId="3" borderId="97" xfId="1" applyFont="1" applyFill="1" applyBorder="1" applyAlignment="1">
      <alignment vertical="center"/>
    </xf>
    <xf numFmtId="43" fontId="2" fillId="5" borderId="95" xfId="1" applyFont="1" applyFill="1" applyBorder="1" applyAlignment="1">
      <alignment horizontal="left" vertical="center"/>
    </xf>
    <xf numFmtId="0" fontId="2" fillId="5" borderId="95" xfId="2" quotePrefix="1" applyFont="1" applyFill="1" applyBorder="1" applyAlignment="1">
      <alignment horizontal="center" vertical="center"/>
    </xf>
    <xf numFmtId="0" fontId="8" fillId="3" borderId="100" xfId="2" applyFont="1" applyFill="1" applyBorder="1" applyAlignment="1">
      <alignment horizontal="center" vertical="center"/>
    </xf>
    <xf numFmtId="43" fontId="4" fillId="3" borderId="101" xfId="1" applyFont="1" applyFill="1" applyBorder="1" applyAlignment="1">
      <alignment vertical="center"/>
    </xf>
    <xf numFmtId="0" fontId="4" fillId="3" borderId="101" xfId="2" applyFont="1" applyFill="1" applyBorder="1" applyAlignment="1">
      <alignment vertical="center"/>
    </xf>
    <xf numFmtId="43" fontId="4" fillId="3" borderId="101" xfId="1" applyFont="1" applyFill="1" applyBorder="1" applyAlignment="1">
      <alignment horizontal="left" vertical="center"/>
    </xf>
    <xf numFmtId="0" fontId="4" fillId="3" borderId="101" xfId="2" applyFont="1" applyFill="1" applyBorder="1" applyAlignment="1">
      <alignment horizontal="center" vertical="center"/>
    </xf>
    <xf numFmtId="164" fontId="4" fillId="3" borderId="101" xfId="2" applyNumberFormat="1" applyFont="1" applyFill="1" applyBorder="1" applyAlignment="1">
      <alignment horizontal="center" vertical="center"/>
    </xf>
    <xf numFmtId="0" fontId="4" fillId="3" borderId="101" xfId="0" applyFont="1" applyFill="1" applyBorder="1" applyAlignment="1">
      <alignment horizontal="center" vertical="center"/>
    </xf>
    <xf numFmtId="43" fontId="8" fillId="3" borderId="102" xfId="1" applyFont="1" applyFill="1" applyBorder="1" applyAlignment="1">
      <alignment vertical="center"/>
    </xf>
    <xf numFmtId="0" fontId="2" fillId="0" borderId="103" xfId="2" quotePrefix="1" applyFont="1" applyBorder="1" applyAlignment="1">
      <alignment horizontal="center" vertical="center"/>
    </xf>
    <xf numFmtId="43" fontId="2" fillId="0" borderId="104" xfId="1" applyFont="1" applyFill="1" applyBorder="1" applyAlignment="1">
      <alignment horizontal="left" vertical="center"/>
    </xf>
    <xf numFmtId="0" fontId="4" fillId="0" borderId="104" xfId="2" applyFont="1" applyBorder="1" applyAlignment="1">
      <alignment horizontal="left" vertical="center"/>
    </xf>
    <xf numFmtId="0" fontId="4" fillId="0" borderId="104" xfId="2" applyFont="1" applyBorder="1" applyAlignment="1">
      <alignment horizontal="center" vertical="center"/>
    </xf>
    <xf numFmtId="164" fontId="3" fillId="0" borderId="104" xfId="2" quotePrefix="1" applyNumberFormat="1" applyFont="1" applyBorder="1" applyAlignment="1">
      <alignment horizontal="center" vertical="center"/>
    </xf>
    <xf numFmtId="164" fontId="2" fillId="0" borderId="104" xfId="2" applyNumberFormat="1" applyFont="1" applyBorder="1" applyAlignment="1">
      <alignment horizontal="center" vertical="center"/>
    </xf>
    <xf numFmtId="0" fontId="2" fillId="0" borderId="105" xfId="2" applyFont="1" applyBorder="1" applyAlignment="1">
      <alignment horizontal="left" vertical="center"/>
    </xf>
    <xf numFmtId="0" fontId="2" fillId="0" borderId="105" xfId="2" applyFont="1" applyBorder="1" applyAlignment="1">
      <alignment horizontal="center" vertical="center"/>
    </xf>
    <xf numFmtId="0" fontId="2" fillId="0" borderId="106" xfId="0" applyFont="1" applyBorder="1" applyAlignment="1">
      <alignment horizontal="center" vertical="center"/>
    </xf>
    <xf numFmtId="43" fontId="2" fillId="0" borderId="106" xfId="1" applyFont="1" applyBorder="1" applyAlignment="1">
      <alignment vertical="center"/>
    </xf>
    <xf numFmtId="164" fontId="8" fillId="0" borderId="104" xfId="2" quotePrefix="1" applyNumberFormat="1" applyFont="1" applyBorder="1" applyAlignment="1">
      <alignment horizontal="center" vertical="center"/>
    </xf>
    <xf numFmtId="165" fontId="8" fillId="0" borderId="0" xfId="1" quotePrefix="1" applyNumberFormat="1" applyFont="1" applyAlignment="1">
      <alignment vertical="center"/>
    </xf>
    <xf numFmtId="164" fontId="2" fillId="0" borderId="104" xfId="2" quotePrefix="1" applyNumberFormat="1" applyFont="1" applyBorder="1" applyAlignment="1">
      <alignment horizontal="center" vertical="center"/>
    </xf>
    <xf numFmtId="0" fontId="2" fillId="5" borderId="107" xfId="2" applyFont="1" applyFill="1" applyBorder="1" applyAlignment="1">
      <alignment horizontal="center" vertical="center"/>
    </xf>
    <xf numFmtId="43" fontId="4" fillId="5" borderId="108" xfId="1" applyFont="1" applyFill="1" applyBorder="1" applyAlignment="1">
      <alignment vertical="center"/>
    </xf>
    <xf numFmtId="0" fontId="4" fillId="5" borderId="108" xfId="2" applyFont="1" applyFill="1" applyBorder="1" applyAlignment="1">
      <alignment vertical="center"/>
    </xf>
    <xf numFmtId="43" fontId="4" fillId="5" borderId="108" xfId="1" applyFont="1" applyFill="1" applyBorder="1" applyAlignment="1">
      <alignment horizontal="left" vertical="center"/>
    </xf>
    <xf numFmtId="0" fontId="4" fillId="5" borderId="108" xfId="2" applyFont="1" applyFill="1" applyBorder="1" applyAlignment="1">
      <alignment horizontal="center" vertical="center"/>
    </xf>
    <xf numFmtId="164" fontId="4" fillId="5" borderId="108" xfId="2" applyNumberFormat="1" applyFont="1" applyFill="1" applyBorder="1" applyAlignment="1">
      <alignment horizontal="right" vertical="center"/>
    </xf>
    <xf numFmtId="164" fontId="4" fillId="5" borderId="104" xfId="1" applyNumberFormat="1" applyFont="1" applyFill="1" applyBorder="1" applyAlignment="1">
      <alignment horizontal="center" vertical="center"/>
    </xf>
    <xf numFmtId="0" fontId="2" fillId="5" borderId="105" xfId="2" applyFont="1" applyFill="1" applyBorder="1" applyAlignment="1">
      <alignment horizontal="left" vertical="center"/>
    </xf>
    <xf numFmtId="0" fontId="4" fillId="5" borderId="105" xfId="2" applyFont="1" applyFill="1" applyBorder="1" applyAlignment="1">
      <alignment horizontal="center" vertical="center"/>
    </xf>
    <xf numFmtId="0" fontId="4" fillId="5" borderId="106" xfId="0" applyFont="1" applyFill="1" applyBorder="1" applyAlignment="1">
      <alignment horizontal="center" vertical="center"/>
    </xf>
    <xf numFmtId="0" fontId="8" fillId="3" borderId="109" xfId="2" applyFont="1" applyFill="1" applyBorder="1" applyAlignment="1">
      <alignment horizontal="center" vertical="center"/>
    </xf>
    <xf numFmtId="43" fontId="4" fillId="3" borderId="110" xfId="1" applyFont="1" applyFill="1" applyBorder="1" applyAlignment="1">
      <alignment vertical="center"/>
    </xf>
    <xf numFmtId="0" fontId="4" fillId="3" borderId="110" xfId="2" applyFont="1" applyFill="1" applyBorder="1" applyAlignment="1">
      <alignment vertical="center"/>
    </xf>
    <xf numFmtId="43" fontId="4" fillId="3" borderId="110" xfId="1" applyFont="1" applyFill="1" applyBorder="1" applyAlignment="1">
      <alignment horizontal="left" vertical="center"/>
    </xf>
    <xf numFmtId="0" fontId="4" fillId="3" borderId="110" xfId="2" applyFont="1" applyFill="1" applyBorder="1" applyAlignment="1">
      <alignment horizontal="center" vertical="center"/>
    </xf>
    <xf numFmtId="164" fontId="4" fillId="3" borderId="110" xfId="2" applyNumberFormat="1" applyFont="1" applyFill="1" applyBorder="1" applyAlignment="1">
      <alignment horizontal="center" vertical="center"/>
    </xf>
    <xf numFmtId="0" fontId="4" fillId="3" borderId="110" xfId="0" applyFont="1" applyFill="1" applyBorder="1" applyAlignment="1">
      <alignment horizontal="center" vertical="center"/>
    </xf>
    <xf numFmtId="43" fontId="8" fillId="3" borderId="111" xfId="1" applyFont="1" applyFill="1" applyBorder="1" applyAlignment="1">
      <alignment vertical="center"/>
    </xf>
    <xf numFmtId="0" fontId="7" fillId="4" borderId="16" xfId="2" applyFont="1" applyFill="1" applyBorder="1" applyAlignment="1">
      <alignment horizontal="center" vertical="center"/>
    </xf>
    <xf numFmtId="0" fontId="2" fillId="0" borderId="112" xfId="2" quotePrefix="1" applyFont="1" applyBorder="1" applyAlignment="1">
      <alignment horizontal="center" vertical="center"/>
    </xf>
    <xf numFmtId="43" fontId="2" fillId="0" borderId="113" xfId="1" applyFont="1" applyFill="1" applyBorder="1" applyAlignment="1">
      <alignment horizontal="left" vertical="center"/>
    </xf>
    <xf numFmtId="0" fontId="4" fillId="0" borderId="113" xfId="2" applyFont="1" applyBorder="1" applyAlignment="1">
      <alignment horizontal="left" vertical="center"/>
    </xf>
    <xf numFmtId="0" fontId="4" fillId="0" borderId="113" xfId="2" applyFont="1" applyBorder="1" applyAlignment="1">
      <alignment horizontal="center" vertical="center"/>
    </xf>
    <xf numFmtId="164" fontId="3" fillId="0" borderId="113" xfId="2" quotePrefix="1" applyNumberFormat="1" applyFont="1" applyBorder="1" applyAlignment="1">
      <alignment horizontal="center" vertical="center"/>
    </xf>
    <xf numFmtId="164" fontId="2" fillId="0" borderId="113" xfId="2" applyNumberFormat="1" applyFont="1" applyBorder="1" applyAlignment="1">
      <alignment horizontal="center" vertical="center"/>
    </xf>
    <xf numFmtId="0" fontId="2" fillId="0" borderId="114" xfId="2" applyFont="1" applyBorder="1" applyAlignment="1">
      <alignment horizontal="left" vertical="center"/>
    </xf>
    <xf numFmtId="0" fontId="2" fillId="0" borderId="114" xfId="2" applyFont="1" applyBorder="1" applyAlignment="1">
      <alignment horizontal="center" vertical="center"/>
    </xf>
    <xf numFmtId="0" fontId="2" fillId="0" borderId="115" xfId="0" applyFont="1" applyBorder="1" applyAlignment="1">
      <alignment horizontal="center" vertical="center"/>
    </xf>
    <xf numFmtId="43" fontId="2" fillId="0" borderId="115" xfId="1" applyFont="1" applyBorder="1" applyAlignment="1">
      <alignment vertical="center"/>
    </xf>
    <xf numFmtId="164" fontId="8" fillId="0" borderId="113" xfId="2" quotePrefix="1" applyNumberFormat="1" applyFont="1" applyBorder="1" applyAlignment="1">
      <alignment horizontal="center" vertical="center"/>
    </xf>
    <xf numFmtId="164" fontId="2" fillId="0" borderId="113" xfId="2" quotePrefix="1" applyNumberFormat="1" applyFont="1" applyBorder="1" applyAlignment="1">
      <alignment horizontal="center" vertical="center"/>
    </xf>
    <xf numFmtId="0" fontId="8" fillId="5" borderId="116" xfId="2" applyFont="1" applyFill="1" applyBorder="1" applyAlignment="1">
      <alignment horizontal="center" vertical="center"/>
    </xf>
    <xf numFmtId="43" fontId="7" fillId="5" borderId="117" xfId="1" applyFont="1" applyFill="1" applyBorder="1" applyAlignment="1">
      <alignment vertical="center"/>
    </xf>
    <xf numFmtId="0" fontId="7" fillId="5" borderId="117" xfId="2" applyFont="1" applyFill="1" applyBorder="1" applyAlignment="1">
      <alignment vertical="center"/>
    </xf>
    <xf numFmtId="43" fontId="7" fillId="5" borderId="117" xfId="1" applyFont="1" applyFill="1" applyBorder="1" applyAlignment="1">
      <alignment horizontal="left" vertical="center"/>
    </xf>
    <xf numFmtId="0" fontId="7" fillId="5" borderId="117" xfId="2" applyFont="1" applyFill="1" applyBorder="1" applyAlignment="1">
      <alignment horizontal="center" vertical="center"/>
    </xf>
    <xf numFmtId="164" fontId="7" fillId="5" borderId="117" xfId="2" applyNumberFormat="1" applyFont="1" applyFill="1" applyBorder="1" applyAlignment="1">
      <alignment horizontal="right" vertical="center"/>
    </xf>
    <xf numFmtId="164" fontId="4" fillId="5" borderId="113" xfId="1" applyNumberFormat="1" applyFont="1" applyFill="1" applyBorder="1" applyAlignment="1">
      <alignment horizontal="center" vertical="center"/>
    </xf>
    <xf numFmtId="0" fontId="2" fillId="5" borderId="114" xfId="2" applyFont="1" applyFill="1" applyBorder="1" applyAlignment="1">
      <alignment horizontal="left" vertical="center"/>
    </xf>
    <xf numFmtId="0" fontId="7" fillId="5" borderId="114" xfId="2" applyFont="1" applyFill="1" applyBorder="1" applyAlignment="1">
      <alignment horizontal="center" vertical="center"/>
    </xf>
    <xf numFmtId="43" fontId="8" fillId="0" borderId="115" xfId="1" applyFont="1" applyBorder="1" applyAlignment="1">
      <alignment vertical="center"/>
    </xf>
    <xf numFmtId="0" fontId="2" fillId="5" borderId="116" xfId="2" applyFont="1" applyFill="1" applyBorder="1" applyAlignment="1">
      <alignment horizontal="center" vertical="center"/>
    </xf>
    <xf numFmtId="43" fontId="4" fillId="5" borderId="117" xfId="1" applyFont="1" applyFill="1" applyBorder="1" applyAlignment="1">
      <alignment vertical="center"/>
    </xf>
    <xf numFmtId="0" fontId="4" fillId="5" borderId="117" xfId="2" applyFont="1" applyFill="1" applyBorder="1" applyAlignment="1">
      <alignment vertical="center"/>
    </xf>
    <xf numFmtId="43" fontId="4" fillId="5" borderId="117" xfId="1" applyFont="1" applyFill="1" applyBorder="1" applyAlignment="1">
      <alignment horizontal="left" vertical="center"/>
    </xf>
    <xf numFmtId="0" fontId="4" fillId="5" borderId="117" xfId="2" applyFont="1" applyFill="1" applyBorder="1" applyAlignment="1">
      <alignment horizontal="center" vertical="center"/>
    </xf>
    <xf numFmtId="0" fontId="4" fillId="5" borderId="114" xfId="2" applyFont="1" applyFill="1" applyBorder="1" applyAlignment="1">
      <alignment horizontal="center" vertical="center"/>
    </xf>
    <xf numFmtId="0" fontId="2" fillId="0" borderId="113" xfId="2" applyFont="1" applyBorder="1" applyAlignment="1">
      <alignment horizontal="left" vertical="center"/>
    </xf>
    <xf numFmtId="0" fontId="2" fillId="0" borderId="113" xfId="2" applyFont="1" applyBorder="1" applyAlignment="1">
      <alignment horizontal="center" vertical="center"/>
    </xf>
    <xf numFmtId="43" fontId="2" fillId="0" borderId="118" xfId="1" applyFont="1" applyFill="1" applyBorder="1" applyAlignment="1">
      <alignment horizontal="left" vertical="center"/>
    </xf>
    <xf numFmtId="0" fontId="2" fillId="0" borderId="119" xfId="2" applyFont="1" applyBorder="1" applyAlignment="1">
      <alignment horizontal="left" vertical="center"/>
    </xf>
    <xf numFmtId="0" fontId="4" fillId="0" borderId="119" xfId="2" applyFont="1" applyBorder="1" applyAlignment="1">
      <alignment horizontal="left" vertical="center"/>
    </xf>
    <xf numFmtId="0" fontId="4" fillId="0" borderId="114" xfId="2" applyFont="1" applyBorder="1" applyAlignment="1">
      <alignment horizontal="left" vertical="center"/>
    </xf>
    <xf numFmtId="0" fontId="4" fillId="0" borderId="114" xfId="2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43" fontId="4" fillId="5" borderId="120" xfId="1" applyFont="1" applyFill="1" applyBorder="1" applyAlignment="1">
      <alignment vertical="center"/>
    </xf>
    <xf numFmtId="0" fontId="4" fillId="5" borderId="115" xfId="0" applyFont="1" applyFill="1" applyBorder="1" applyAlignment="1">
      <alignment horizontal="center" vertical="center"/>
    </xf>
    <xf numFmtId="0" fontId="8" fillId="3" borderId="121" xfId="2" applyFont="1" applyFill="1" applyBorder="1" applyAlignment="1">
      <alignment horizontal="center" vertical="center"/>
    </xf>
    <xf numFmtId="43" fontId="4" fillId="3" borderId="122" xfId="1" applyFont="1" applyFill="1" applyBorder="1" applyAlignment="1">
      <alignment vertical="center"/>
    </xf>
    <xf numFmtId="0" fontId="4" fillId="3" borderId="122" xfId="2" applyFont="1" applyFill="1" applyBorder="1" applyAlignment="1">
      <alignment vertical="center"/>
    </xf>
    <xf numFmtId="43" fontId="4" fillId="3" borderId="122" xfId="1" applyFont="1" applyFill="1" applyBorder="1" applyAlignment="1">
      <alignment horizontal="left" vertical="center"/>
    </xf>
    <xf numFmtId="0" fontId="4" fillId="3" borderId="122" xfId="2" applyFont="1" applyFill="1" applyBorder="1" applyAlignment="1">
      <alignment horizontal="center" vertical="center"/>
    </xf>
    <xf numFmtId="164" fontId="4" fillId="3" borderId="122" xfId="2" applyNumberFormat="1" applyFont="1" applyFill="1" applyBorder="1" applyAlignment="1">
      <alignment horizontal="center" vertical="center"/>
    </xf>
    <xf numFmtId="0" fontId="4" fillId="3" borderId="122" xfId="0" applyFont="1" applyFill="1" applyBorder="1" applyAlignment="1">
      <alignment horizontal="center" vertical="center"/>
    </xf>
    <xf numFmtId="43" fontId="8" fillId="3" borderId="123" xfId="1" applyFont="1" applyFill="1" applyBorder="1" applyAlignment="1">
      <alignment vertical="center"/>
    </xf>
    <xf numFmtId="0" fontId="2" fillId="0" borderId="124" xfId="2" quotePrefix="1" applyFont="1" applyBorder="1" applyAlignment="1">
      <alignment horizontal="center" vertical="center"/>
    </xf>
    <xf numFmtId="43" fontId="2" fillId="0" borderId="125" xfId="1" applyFont="1" applyFill="1" applyBorder="1" applyAlignment="1">
      <alignment horizontal="left" vertical="center"/>
    </xf>
    <xf numFmtId="0" fontId="4" fillId="0" borderId="125" xfId="2" applyFont="1" applyBorder="1" applyAlignment="1">
      <alignment horizontal="left" vertical="center"/>
    </xf>
    <xf numFmtId="0" fontId="4" fillId="0" borderId="125" xfId="2" applyFont="1" applyBorder="1" applyAlignment="1">
      <alignment horizontal="center" vertical="center"/>
    </xf>
    <xf numFmtId="164" fontId="3" fillId="0" borderId="125" xfId="2" quotePrefix="1" applyNumberFormat="1" applyFont="1" applyBorder="1" applyAlignment="1">
      <alignment horizontal="center" vertical="center"/>
    </xf>
    <xf numFmtId="164" fontId="2" fillId="0" borderId="125" xfId="2" applyNumberFormat="1" applyFont="1" applyBorder="1" applyAlignment="1">
      <alignment horizontal="center" vertical="center"/>
    </xf>
    <xf numFmtId="0" fontId="2" fillId="0" borderId="126" xfId="2" applyFont="1" applyBorder="1" applyAlignment="1">
      <alignment horizontal="left" vertical="center"/>
    </xf>
    <xf numFmtId="0" fontId="2" fillId="0" borderId="126" xfId="2" applyFont="1" applyBorder="1" applyAlignment="1">
      <alignment horizontal="center" vertical="center"/>
    </xf>
    <xf numFmtId="0" fontId="2" fillId="0" borderId="127" xfId="0" applyFont="1" applyBorder="1" applyAlignment="1">
      <alignment horizontal="center" vertical="center"/>
    </xf>
    <xf numFmtId="43" fontId="2" fillId="0" borderId="127" xfId="1" applyFont="1" applyBorder="1" applyAlignment="1">
      <alignment vertical="center"/>
    </xf>
    <xf numFmtId="164" fontId="8" fillId="0" borderId="125" xfId="2" quotePrefix="1" applyNumberFormat="1" applyFont="1" applyBorder="1" applyAlignment="1">
      <alignment horizontal="center" vertical="center"/>
    </xf>
    <xf numFmtId="164" fontId="2" fillId="0" borderId="125" xfId="2" quotePrefix="1" applyNumberFormat="1" applyFont="1" applyBorder="1" applyAlignment="1">
      <alignment horizontal="center" vertical="center"/>
    </xf>
    <xf numFmtId="0" fontId="2" fillId="5" borderId="128" xfId="2" applyFont="1" applyFill="1" applyBorder="1" applyAlignment="1">
      <alignment horizontal="center" vertical="center"/>
    </xf>
    <xf numFmtId="43" fontId="4" fillId="5" borderId="129" xfId="1" applyFont="1" applyFill="1" applyBorder="1" applyAlignment="1">
      <alignment vertical="center"/>
    </xf>
    <xf numFmtId="0" fontId="4" fillId="5" borderId="129" xfId="2" applyFont="1" applyFill="1" applyBorder="1" applyAlignment="1">
      <alignment vertical="center"/>
    </xf>
    <xf numFmtId="43" fontId="4" fillId="5" borderId="129" xfId="1" applyFont="1" applyFill="1" applyBorder="1" applyAlignment="1">
      <alignment horizontal="left" vertical="center"/>
    </xf>
    <xf numFmtId="0" fontId="4" fillId="5" borderId="129" xfId="2" applyFont="1" applyFill="1" applyBorder="1" applyAlignment="1">
      <alignment horizontal="center" vertical="center"/>
    </xf>
    <xf numFmtId="164" fontId="7" fillId="5" borderId="129" xfId="2" applyNumberFormat="1" applyFont="1" applyFill="1" applyBorder="1" applyAlignment="1">
      <alignment horizontal="right" vertical="center"/>
    </xf>
    <xf numFmtId="164" fontId="4" fillId="5" borderId="125" xfId="1" applyNumberFormat="1" applyFont="1" applyFill="1" applyBorder="1" applyAlignment="1">
      <alignment horizontal="center" vertical="center"/>
    </xf>
    <xf numFmtId="0" fontId="2" fillId="5" borderId="126" xfId="2" applyFont="1" applyFill="1" applyBorder="1" applyAlignment="1">
      <alignment horizontal="left" vertical="center"/>
    </xf>
    <xf numFmtId="0" fontId="4" fillId="5" borderId="126" xfId="2" applyFont="1" applyFill="1" applyBorder="1" applyAlignment="1">
      <alignment horizontal="center" vertical="center"/>
    </xf>
    <xf numFmtId="0" fontId="8" fillId="3" borderId="130" xfId="2" applyFont="1" applyFill="1" applyBorder="1" applyAlignment="1">
      <alignment horizontal="center" vertical="center"/>
    </xf>
    <xf numFmtId="43" fontId="4" fillId="3" borderId="131" xfId="1" applyFont="1" applyFill="1" applyBorder="1" applyAlignment="1">
      <alignment vertical="center"/>
    </xf>
    <xf numFmtId="0" fontId="4" fillId="3" borderId="131" xfId="2" applyFont="1" applyFill="1" applyBorder="1" applyAlignment="1">
      <alignment vertical="center"/>
    </xf>
    <xf numFmtId="43" fontId="4" fillId="3" borderId="131" xfId="1" applyFont="1" applyFill="1" applyBorder="1" applyAlignment="1">
      <alignment horizontal="left" vertical="center"/>
    </xf>
    <xf numFmtId="0" fontId="4" fillId="3" borderId="131" xfId="2" applyFont="1" applyFill="1" applyBorder="1" applyAlignment="1">
      <alignment horizontal="center" vertical="center"/>
    </xf>
    <xf numFmtId="164" fontId="4" fillId="3" borderId="131" xfId="2" applyNumberFormat="1" applyFont="1" applyFill="1" applyBorder="1" applyAlignment="1">
      <alignment horizontal="center" vertical="center"/>
    </xf>
    <xf numFmtId="0" fontId="4" fillId="3" borderId="131" xfId="0" applyFont="1" applyFill="1" applyBorder="1" applyAlignment="1">
      <alignment horizontal="center" vertical="center"/>
    </xf>
    <xf numFmtId="43" fontId="8" fillId="3" borderId="132" xfId="1" applyFont="1" applyFill="1" applyBorder="1" applyAlignment="1">
      <alignment vertical="center"/>
    </xf>
    <xf numFmtId="0" fontId="2" fillId="0" borderId="133" xfId="2" quotePrefix="1" applyFont="1" applyBorder="1" applyAlignment="1">
      <alignment horizontal="center" vertical="center"/>
    </xf>
    <xf numFmtId="43" fontId="2" fillId="0" borderId="134" xfId="1" applyFont="1" applyFill="1" applyBorder="1" applyAlignment="1">
      <alignment horizontal="left" vertical="center"/>
    </xf>
    <xf numFmtId="0" fontId="4" fillId="0" borderId="134" xfId="2" applyFont="1" applyBorder="1" applyAlignment="1">
      <alignment horizontal="left" vertical="center"/>
    </xf>
    <xf numFmtId="0" fontId="4" fillId="0" borderId="134" xfId="2" applyFont="1" applyBorder="1" applyAlignment="1">
      <alignment horizontal="center" vertical="center"/>
    </xf>
    <xf numFmtId="164" fontId="3" fillId="0" borderId="134" xfId="2" quotePrefix="1" applyNumberFormat="1" applyFont="1" applyBorder="1" applyAlignment="1">
      <alignment horizontal="center" vertical="center"/>
    </xf>
    <xf numFmtId="164" fontId="2" fillId="0" borderId="134" xfId="2" applyNumberFormat="1" applyFont="1" applyBorder="1" applyAlignment="1">
      <alignment horizontal="center" vertical="center"/>
    </xf>
    <xf numFmtId="0" fontId="2" fillId="0" borderId="135" xfId="2" applyFont="1" applyBorder="1" applyAlignment="1">
      <alignment horizontal="left" vertical="center"/>
    </xf>
    <xf numFmtId="0" fontId="2" fillId="0" borderId="135" xfId="2" applyFont="1" applyBorder="1" applyAlignment="1">
      <alignment horizontal="center" vertical="center"/>
    </xf>
    <xf numFmtId="0" fontId="2" fillId="0" borderId="136" xfId="0" applyFont="1" applyBorder="1" applyAlignment="1">
      <alignment horizontal="center" vertical="center"/>
    </xf>
    <xf numFmtId="43" fontId="2" fillId="0" borderId="136" xfId="1" applyFont="1" applyBorder="1" applyAlignment="1">
      <alignment vertical="center"/>
    </xf>
    <xf numFmtId="164" fontId="8" fillId="0" borderId="134" xfId="2" quotePrefix="1" applyNumberFormat="1" applyFont="1" applyBorder="1" applyAlignment="1">
      <alignment horizontal="center" vertical="center"/>
    </xf>
    <xf numFmtId="164" fontId="2" fillId="0" borderId="134" xfId="2" quotePrefix="1" applyNumberFormat="1" applyFont="1" applyBorder="1" applyAlignment="1">
      <alignment horizontal="center" vertical="center"/>
    </xf>
    <xf numFmtId="0" fontId="2" fillId="5" borderId="137" xfId="2" applyFont="1" applyFill="1" applyBorder="1" applyAlignment="1">
      <alignment horizontal="center" vertical="center"/>
    </xf>
    <xf numFmtId="43" fontId="4" fillId="5" borderId="138" xfId="1" applyFont="1" applyFill="1" applyBorder="1" applyAlignment="1">
      <alignment vertical="center"/>
    </xf>
    <xf numFmtId="0" fontId="4" fillId="5" borderId="138" xfId="2" applyFont="1" applyFill="1" applyBorder="1" applyAlignment="1">
      <alignment vertical="center"/>
    </xf>
    <xf numFmtId="43" fontId="4" fillId="5" borderId="138" xfId="1" applyFont="1" applyFill="1" applyBorder="1" applyAlignment="1">
      <alignment horizontal="left" vertical="center"/>
    </xf>
    <xf numFmtId="0" fontId="4" fillId="5" borderId="138" xfId="2" applyFont="1" applyFill="1" applyBorder="1" applyAlignment="1">
      <alignment horizontal="center" vertical="center"/>
    </xf>
    <xf numFmtId="164" fontId="7" fillId="5" borderId="25" xfId="2" applyNumberFormat="1" applyFont="1" applyFill="1" applyBorder="1" applyAlignment="1">
      <alignment horizontal="right" vertical="center"/>
    </xf>
    <xf numFmtId="0" fontId="2" fillId="5" borderId="135" xfId="2" applyFont="1" applyFill="1" applyBorder="1" applyAlignment="1">
      <alignment horizontal="left" vertical="center"/>
    </xf>
    <xf numFmtId="0" fontId="4" fillId="5" borderId="135" xfId="2" applyFont="1" applyFill="1" applyBorder="1" applyAlignment="1">
      <alignment horizontal="center" vertical="center"/>
    </xf>
    <xf numFmtId="0" fontId="8" fillId="3" borderId="139" xfId="2" applyFont="1" applyFill="1" applyBorder="1" applyAlignment="1">
      <alignment horizontal="center" vertical="center"/>
    </xf>
    <xf numFmtId="43" fontId="4" fillId="3" borderId="140" xfId="1" applyFont="1" applyFill="1" applyBorder="1" applyAlignment="1">
      <alignment vertical="center"/>
    </xf>
    <xf numFmtId="0" fontId="4" fillId="3" borderId="140" xfId="2" applyFont="1" applyFill="1" applyBorder="1" applyAlignment="1">
      <alignment vertical="center"/>
    </xf>
    <xf numFmtId="43" fontId="4" fillId="3" borderId="140" xfId="1" applyFont="1" applyFill="1" applyBorder="1" applyAlignment="1">
      <alignment horizontal="left" vertical="center"/>
    </xf>
    <xf numFmtId="0" fontId="4" fillId="3" borderId="140" xfId="2" applyFont="1" applyFill="1" applyBorder="1" applyAlignment="1">
      <alignment horizontal="center" vertical="center"/>
    </xf>
    <xf numFmtId="164" fontId="4" fillId="3" borderId="140" xfId="2" applyNumberFormat="1" applyFont="1" applyFill="1" applyBorder="1" applyAlignment="1">
      <alignment horizontal="center" vertical="center"/>
    </xf>
    <xf numFmtId="0" fontId="4" fillId="3" borderId="140" xfId="0" applyFont="1" applyFill="1" applyBorder="1" applyAlignment="1">
      <alignment horizontal="center" vertical="center"/>
    </xf>
    <xf numFmtId="43" fontId="8" fillId="3" borderId="141" xfId="1" applyFont="1" applyFill="1" applyBorder="1" applyAlignment="1">
      <alignment vertical="center"/>
    </xf>
    <xf numFmtId="0" fontId="2" fillId="0" borderId="142" xfId="2" quotePrefix="1" applyFont="1" applyBorder="1" applyAlignment="1">
      <alignment horizontal="center" vertical="center"/>
    </xf>
    <xf numFmtId="43" fontId="2" fillId="0" borderId="143" xfId="1" applyFont="1" applyFill="1" applyBorder="1" applyAlignment="1">
      <alignment horizontal="left" vertical="center"/>
    </xf>
    <xf numFmtId="0" fontId="4" fillId="0" borderId="143" xfId="2" applyFont="1" applyBorder="1" applyAlignment="1">
      <alignment horizontal="left" vertical="center"/>
    </xf>
    <xf numFmtId="0" fontId="4" fillId="0" borderId="143" xfId="2" applyFont="1" applyBorder="1" applyAlignment="1">
      <alignment horizontal="center" vertical="center"/>
    </xf>
    <xf numFmtId="164" fontId="8" fillId="0" borderId="143" xfId="2" quotePrefix="1" applyNumberFormat="1" applyFont="1" applyBorder="1" applyAlignment="1">
      <alignment horizontal="center" vertical="center"/>
    </xf>
    <xf numFmtId="164" fontId="2" fillId="0" borderId="143" xfId="2" applyNumberFormat="1" applyFont="1" applyBorder="1" applyAlignment="1">
      <alignment horizontal="center" vertical="center"/>
    </xf>
    <xf numFmtId="0" fontId="2" fillId="0" borderId="144" xfId="2" applyFont="1" applyBorder="1" applyAlignment="1">
      <alignment horizontal="left" vertical="center"/>
    </xf>
    <xf numFmtId="0" fontId="2" fillId="0" borderId="144" xfId="2" applyFont="1" applyBorder="1" applyAlignment="1">
      <alignment horizontal="center" vertical="center"/>
    </xf>
    <xf numFmtId="0" fontId="2" fillId="0" borderId="145" xfId="0" applyFont="1" applyBorder="1" applyAlignment="1">
      <alignment horizontal="center" vertical="center"/>
    </xf>
    <xf numFmtId="43" fontId="2" fillId="0" borderId="145" xfId="1" applyFont="1" applyBorder="1" applyAlignment="1">
      <alignment vertical="center"/>
    </xf>
    <xf numFmtId="164" fontId="3" fillId="0" borderId="143" xfId="2" quotePrefix="1" applyNumberFormat="1" applyFont="1" applyBorder="1" applyAlignment="1">
      <alignment horizontal="center" vertical="center"/>
    </xf>
    <xf numFmtId="164" fontId="2" fillId="0" borderId="143" xfId="2" quotePrefix="1" applyNumberFormat="1" applyFont="1" applyBorder="1" applyAlignment="1">
      <alignment horizontal="center" vertical="center"/>
    </xf>
    <xf numFmtId="164" fontId="2" fillId="0" borderId="143" xfId="2" applyNumberFormat="1" applyFont="1" applyBorder="1" applyAlignment="1">
      <alignment horizontal="center"/>
    </xf>
    <xf numFmtId="0" fontId="2" fillId="5" borderId="146" xfId="2" applyFont="1" applyFill="1" applyBorder="1" applyAlignment="1">
      <alignment horizontal="center" vertical="center"/>
    </xf>
    <xf numFmtId="43" fontId="4" fillId="5" borderId="147" xfId="1" applyFont="1" applyFill="1" applyBorder="1" applyAlignment="1">
      <alignment vertical="center"/>
    </xf>
    <xf numFmtId="0" fontId="4" fillId="5" borderId="147" xfId="2" applyFont="1" applyFill="1" applyBorder="1" applyAlignment="1">
      <alignment vertical="center"/>
    </xf>
    <xf numFmtId="43" fontId="4" fillId="5" borderId="147" xfId="1" applyFont="1" applyFill="1" applyBorder="1" applyAlignment="1">
      <alignment horizontal="left" vertical="center"/>
    </xf>
    <xf numFmtId="0" fontId="4" fillId="5" borderId="147" xfId="2" applyFont="1" applyFill="1" applyBorder="1" applyAlignment="1">
      <alignment horizontal="center" vertical="center"/>
    </xf>
    <xf numFmtId="164" fontId="7" fillId="5" borderId="147" xfId="2" applyNumberFormat="1" applyFont="1" applyFill="1" applyBorder="1" applyAlignment="1">
      <alignment horizontal="right" vertical="center"/>
    </xf>
    <xf numFmtId="164" fontId="4" fillId="5" borderId="143" xfId="1" applyNumberFormat="1" applyFont="1" applyFill="1" applyBorder="1" applyAlignment="1">
      <alignment horizontal="center" vertical="center"/>
    </xf>
    <xf numFmtId="0" fontId="2" fillId="5" borderId="144" xfId="2" applyFont="1" applyFill="1" applyBorder="1" applyAlignment="1">
      <alignment horizontal="left" vertical="center"/>
    </xf>
    <xf numFmtId="0" fontId="4" fillId="5" borderId="144" xfId="2" applyFont="1" applyFill="1" applyBorder="1" applyAlignment="1">
      <alignment horizontal="center" vertical="center"/>
    </xf>
    <xf numFmtId="0" fontId="8" fillId="3" borderId="148" xfId="2" applyFont="1" applyFill="1" applyBorder="1" applyAlignment="1">
      <alignment horizontal="center" vertical="center"/>
    </xf>
    <xf numFmtId="43" fontId="4" fillId="3" borderId="149" xfId="1" applyFont="1" applyFill="1" applyBorder="1" applyAlignment="1">
      <alignment vertical="center"/>
    </xf>
    <xf numFmtId="0" fontId="4" fillId="3" borderId="149" xfId="2" applyFont="1" applyFill="1" applyBorder="1" applyAlignment="1">
      <alignment vertical="center"/>
    </xf>
    <xf numFmtId="43" fontId="4" fillId="3" borderId="149" xfId="1" applyFont="1" applyFill="1" applyBorder="1" applyAlignment="1">
      <alignment horizontal="left" vertical="center"/>
    </xf>
    <xf numFmtId="0" fontId="4" fillId="3" borderId="149" xfId="2" applyFont="1" applyFill="1" applyBorder="1" applyAlignment="1">
      <alignment horizontal="center" vertical="center"/>
    </xf>
    <xf numFmtId="164" fontId="4" fillId="3" borderId="149" xfId="2" applyNumberFormat="1" applyFont="1" applyFill="1" applyBorder="1" applyAlignment="1">
      <alignment horizontal="center" vertical="center"/>
    </xf>
    <xf numFmtId="0" fontId="4" fillId="3" borderId="149" xfId="0" applyFont="1" applyFill="1" applyBorder="1" applyAlignment="1">
      <alignment horizontal="center" vertical="center"/>
    </xf>
    <xf numFmtId="43" fontId="8" fillId="3" borderId="150" xfId="1" applyFont="1" applyFill="1" applyBorder="1" applyAlignment="1">
      <alignment vertical="center"/>
    </xf>
    <xf numFmtId="0" fontId="2" fillId="0" borderId="151" xfId="2" quotePrefix="1" applyFont="1" applyBorder="1" applyAlignment="1">
      <alignment horizontal="center" vertical="center"/>
    </xf>
    <xf numFmtId="43" fontId="2" fillId="0" borderId="152" xfId="1" applyFont="1" applyFill="1" applyBorder="1" applyAlignment="1">
      <alignment horizontal="left" vertical="center"/>
    </xf>
    <xf numFmtId="0" fontId="4" fillId="0" borderId="152" xfId="2" applyFont="1" applyBorder="1" applyAlignment="1">
      <alignment horizontal="left" vertical="center"/>
    </xf>
    <xf numFmtId="0" fontId="4" fillId="0" borderId="152" xfId="2" applyFont="1" applyBorder="1" applyAlignment="1">
      <alignment horizontal="center" vertical="center"/>
    </xf>
    <xf numFmtId="164" fontId="3" fillId="0" borderId="152" xfId="2" quotePrefix="1" applyNumberFormat="1" applyFont="1" applyBorder="1" applyAlignment="1">
      <alignment horizontal="center" vertical="center"/>
    </xf>
    <xf numFmtId="164" fontId="2" fillId="0" borderId="152" xfId="2" applyNumberFormat="1" applyFont="1" applyBorder="1" applyAlignment="1">
      <alignment horizontal="center" vertical="center"/>
    </xf>
    <xf numFmtId="0" fontId="2" fillId="0" borderId="153" xfId="2" applyFont="1" applyBorder="1" applyAlignment="1">
      <alignment horizontal="left" vertical="center"/>
    </xf>
    <xf numFmtId="0" fontId="2" fillId="0" borderId="153" xfId="2" applyFont="1" applyBorder="1" applyAlignment="1">
      <alignment horizontal="center" vertical="center"/>
    </xf>
    <xf numFmtId="0" fontId="2" fillId="0" borderId="154" xfId="0" applyFont="1" applyBorder="1" applyAlignment="1">
      <alignment horizontal="center" vertical="center"/>
    </xf>
    <xf numFmtId="43" fontId="2" fillId="0" borderId="154" xfId="1" applyFont="1" applyBorder="1" applyAlignment="1">
      <alignment vertical="center"/>
    </xf>
    <xf numFmtId="164" fontId="8" fillId="0" borderId="152" xfId="2" quotePrefix="1" applyNumberFormat="1" applyFont="1" applyBorder="1" applyAlignment="1">
      <alignment horizontal="center" vertical="center"/>
    </xf>
    <xf numFmtId="164" fontId="2" fillId="0" borderId="152" xfId="2" quotePrefix="1" applyNumberFormat="1" applyFont="1" applyBorder="1" applyAlignment="1">
      <alignment horizontal="center" vertical="center"/>
    </xf>
    <xf numFmtId="0" fontId="2" fillId="0" borderId="155" xfId="2" applyFont="1" applyBorder="1" applyAlignment="1">
      <alignment horizontal="left" vertical="center"/>
    </xf>
    <xf numFmtId="0" fontId="2" fillId="0" borderId="156" xfId="2" applyFont="1" applyBorder="1" applyAlignment="1">
      <alignment horizontal="left" vertical="center"/>
    </xf>
    <xf numFmtId="0" fontId="2" fillId="5" borderId="157" xfId="2" applyFont="1" applyFill="1" applyBorder="1" applyAlignment="1">
      <alignment horizontal="center" vertical="center"/>
    </xf>
    <xf numFmtId="43" fontId="4" fillId="5" borderId="156" xfId="1" applyFont="1" applyFill="1" applyBorder="1" applyAlignment="1">
      <alignment vertical="center"/>
    </xf>
    <xf numFmtId="0" fontId="4" fillId="5" borderId="156" xfId="2" applyFont="1" applyFill="1" applyBorder="1" applyAlignment="1">
      <alignment vertical="center"/>
    </xf>
    <xf numFmtId="43" fontId="4" fillId="5" borderId="156" xfId="1" applyFont="1" applyFill="1" applyBorder="1" applyAlignment="1">
      <alignment horizontal="left" vertical="center"/>
    </xf>
    <xf numFmtId="0" fontId="4" fillId="5" borderId="156" xfId="2" applyFont="1" applyFill="1" applyBorder="1" applyAlignment="1">
      <alignment horizontal="center" vertical="center"/>
    </xf>
    <xf numFmtId="164" fontId="7" fillId="5" borderId="156" xfId="2" applyNumberFormat="1" applyFont="1" applyFill="1" applyBorder="1" applyAlignment="1">
      <alignment horizontal="right" vertical="center"/>
    </xf>
    <xf numFmtId="164" fontId="4" fillId="5" borderId="152" xfId="1" applyNumberFormat="1" applyFont="1" applyFill="1" applyBorder="1" applyAlignment="1">
      <alignment horizontal="center" vertical="center"/>
    </xf>
    <xf numFmtId="0" fontId="2" fillId="5" borderId="153" xfId="2" applyFont="1" applyFill="1" applyBorder="1" applyAlignment="1">
      <alignment horizontal="left" vertical="center"/>
    </xf>
    <xf numFmtId="0" fontId="4" fillId="5" borderId="153" xfId="2" applyFont="1" applyFill="1" applyBorder="1" applyAlignment="1">
      <alignment horizontal="center" vertical="center"/>
    </xf>
    <xf numFmtId="0" fontId="8" fillId="3" borderId="158" xfId="2" applyFont="1" applyFill="1" applyBorder="1" applyAlignment="1">
      <alignment horizontal="center" vertical="center"/>
    </xf>
    <xf numFmtId="43" fontId="4" fillId="3" borderId="159" xfId="1" applyFont="1" applyFill="1" applyBorder="1" applyAlignment="1">
      <alignment vertical="center"/>
    </xf>
    <xf numFmtId="0" fontId="4" fillId="3" borderId="159" xfId="2" applyFont="1" applyFill="1" applyBorder="1" applyAlignment="1">
      <alignment vertical="center"/>
    </xf>
    <xf numFmtId="43" fontId="4" fillId="3" borderId="159" xfId="1" applyFont="1" applyFill="1" applyBorder="1" applyAlignment="1">
      <alignment horizontal="left" vertical="center"/>
    </xf>
    <xf numFmtId="0" fontId="4" fillId="3" borderId="159" xfId="2" applyFont="1" applyFill="1" applyBorder="1" applyAlignment="1">
      <alignment horizontal="center" vertical="center"/>
    </xf>
    <xf numFmtId="164" fontId="4" fillId="3" borderId="159" xfId="2" applyNumberFormat="1" applyFont="1" applyFill="1" applyBorder="1" applyAlignment="1">
      <alignment horizontal="center" vertical="center"/>
    </xf>
    <xf numFmtId="0" fontId="4" fillId="3" borderId="159" xfId="0" applyFont="1" applyFill="1" applyBorder="1" applyAlignment="1">
      <alignment horizontal="center" vertical="center"/>
    </xf>
    <xf numFmtId="43" fontId="8" fillId="3" borderId="160" xfId="1" applyFont="1" applyFill="1" applyBorder="1" applyAlignment="1">
      <alignment vertical="center"/>
    </xf>
    <xf numFmtId="0" fontId="2" fillId="0" borderId="161" xfId="2" quotePrefix="1" applyFont="1" applyBorder="1" applyAlignment="1">
      <alignment horizontal="center" vertical="center"/>
    </xf>
    <xf numFmtId="43" fontId="2" fillId="0" borderId="162" xfId="1" applyFont="1" applyFill="1" applyBorder="1" applyAlignment="1">
      <alignment horizontal="left" vertical="center"/>
    </xf>
    <xf numFmtId="0" fontId="4" fillId="0" borderId="162" xfId="2" applyFont="1" applyBorder="1" applyAlignment="1">
      <alignment horizontal="left" vertical="center"/>
    </xf>
    <xf numFmtId="0" fontId="4" fillId="0" borderId="162" xfId="2" applyFont="1" applyBorder="1" applyAlignment="1">
      <alignment horizontal="center" vertical="center"/>
    </xf>
    <xf numFmtId="164" fontId="3" fillId="0" borderId="162" xfId="2" quotePrefix="1" applyNumberFormat="1" applyFont="1" applyBorder="1" applyAlignment="1">
      <alignment horizontal="center" vertical="center"/>
    </xf>
    <xf numFmtId="164" fontId="2" fillId="0" borderId="162" xfId="2" applyNumberFormat="1" applyFont="1" applyBorder="1" applyAlignment="1">
      <alignment horizontal="center" vertical="center"/>
    </xf>
    <xf numFmtId="0" fontId="2" fillId="0" borderId="163" xfId="2" applyFont="1" applyBorder="1" applyAlignment="1">
      <alignment horizontal="left" vertical="center"/>
    </xf>
    <xf numFmtId="0" fontId="2" fillId="0" borderId="163" xfId="2" applyFont="1" applyBorder="1" applyAlignment="1">
      <alignment horizontal="center" vertical="center"/>
    </xf>
    <xf numFmtId="0" fontId="2" fillId="0" borderId="164" xfId="0" applyFont="1" applyBorder="1" applyAlignment="1">
      <alignment horizontal="center" vertical="center"/>
    </xf>
    <xf numFmtId="43" fontId="2" fillId="0" borderId="164" xfId="1" applyFont="1" applyBorder="1" applyAlignment="1">
      <alignment vertical="center"/>
    </xf>
    <xf numFmtId="164" fontId="8" fillId="0" borderId="162" xfId="2" quotePrefix="1" applyNumberFormat="1" applyFont="1" applyBorder="1" applyAlignment="1">
      <alignment horizontal="center" vertical="center"/>
    </xf>
    <xf numFmtId="164" fontId="2" fillId="0" borderId="162" xfId="2" quotePrefix="1" applyNumberFormat="1" applyFont="1" applyBorder="1" applyAlignment="1">
      <alignment horizontal="center" vertical="center"/>
    </xf>
    <xf numFmtId="164" fontId="8" fillId="0" borderId="162" xfId="2" applyNumberFormat="1" applyFont="1" applyBorder="1" applyAlignment="1">
      <alignment horizontal="center" vertical="center"/>
    </xf>
    <xf numFmtId="0" fontId="2" fillId="5" borderId="165" xfId="2" applyFont="1" applyFill="1" applyBorder="1" applyAlignment="1">
      <alignment horizontal="center" vertical="center"/>
    </xf>
    <xf numFmtId="43" fontId="4" fillId="5" borderId="166" xfId="1" applyFont="1" applyFill="1" applyBorder="1" applyAlignment="1">
      <alignment vertical="center"/>
    </xf>
    <xf numFmtId="0" fontId="4" fillId="5" borderId="166" xfId="2" applyFont="1" applyFill="1" applyBorder="1" applyAlignment="1">
      <alignment vertical="center"/>
    </xf>
    <xf numFmtId="43" fontId="4" fillId="5" borderId="166" xfId="1" applyFont="1" applyFill="1" applyBorder="1" applyAlignment="1">
      <alignment horizontal="left" vertical="center"/>
    </xf>
    <xf numFmtId="0" fontId="4" fillId="5" borderId="166" xfId="2" applyFont="1" applyFill="1" applyBorder="1" applyAlignment="1">
      <alignment horizontal="center" vertical="center"/>
    </xf>
    <xf numFmtId="164" fontId="7" fillId="5" borderId="166" xfId="2" applyNumberFormat="1" applyFont="1" applyFill="1" applyBorder="1" applyAlignment="1">
      <alignment horizontal="right" vertical="center"/>
    </xf>
    <xf numFmtId="164" fontId="4" fillId="5" borderId="162" xfId="1" applyNumberFormat="1" applyFont="1" applyFill="1" applyBorder="1" applyAlignment="1">
      <alignment horizontal="center" vertical="center"/>
    </xf>
    <xf numFmtId="0" fontId="2" fillId="5" borderId="163" xfId="2" applyFont="1" applyFill="1" applyBorder="1" applyAlignment="1">
      <alignment horizontal="left" vertical="center"/>
    </xf>
    <xf numFmtId="0" fontId="4" fillId="5" borderId="163" xfId="2" applyFont="1" applyFill="1" applyBorder="1" applyAlignment="1">
      <alignment horizontal="center" vertical="center"/>
    </xf>
    <xf numFmtId="0" fontId="8" fillId="3" borderId="167" xfId="2" applyFont="1" applyFill="1" applyBorder="1" applyAlignment="1">
      <alignment horizontal="center" vertical="center"/>
    </xf>
    <xf numFmtId="43" fontId="4" fillId="3" borderId="168" xfId="1" applyFont="1" applyFill="1" applyBorder="1" applyAlignment="1">
      <alignment vertical="center"/>
    </xf>
    <xf numFmtId="0" fontId="4" fillId="3" borderId="168" xfId="2" applyFont="1" applyFill="1" applyBorder="1" applyAlignment="1">
      <alignment vertical="center"/>
    </xf>
    <xf numFmtId="43" fontId="4" fillId="3" borderId="168" xfId="1" applyFont="1" applyFill="1" applyBorder="1" applyAlignment="1">
      <alignment horizontal="left" vertical="center"/>
    </xf>
    <xf numFmtId="0" fontId="4" fillId="3" borderId="168" xfId="2" applyFont="1" applyFill="1" applyBorder="1" applyAlignment="1">
      <alignment horizontal="center" vertical="center"/>
    </xf>
    <xf numFmtId="164" fontId="4" fillId="3" borderId="168" xfId="2" applyNumberFormat="1" applyFont="1" applyFill="1" applyBorder="1" applyAlignment="1">
      <alignment horizontal="center" vertical="center"/>
    </xf>
    <xf numFmtId="0" fontId="4" fillId="3" borderId="168" xfId="0" applyFont="1" applyFill="1" applyBorder="1" applyAlignment="1">
      <alignment horizontal="center" vertical="center"/>
    </xf>
    <xf numFmtId="43" fontId="8" fillId="3" borderId="169" xfId="1" applyFont="1" applyFill="1" applyBorder="1" applyAlignment="1">
      <alignment vertical="center"/>
    </xf>
    <xf numFmtId="0" fontId="2" fillId="0" borderId="170" xfId="2" quotePrefix="1" applyFont="1" applyBorder="1" applyAlignment="1">
      <alignment horizontal="center" vertical="center"/>
    </xf>
    <xf numFmtId="43" fontId="2" fillId="0" borderId="171" xfId="1" applyFont="1" applyFill="1" applyBorder="1" applyAlignment="1">
      <alignment horizontal="left" vertical="center"/>
    </xf>
    <xf numFmtId="0" fontId="4" fillId="0" borderId="171" xfId="2" applyFont="1" applyBorder="1" applyAlignment="1">
      <alignment horizontal="left" vertical="center"/>
    </xf>
    <xf numFmtId="0" fontId="4" fillId="0" borderId="171" xfId="2" applyFont="1" applyBorder="1" applyAlignment="1">
      <alignment horizontal="center" vertical="center"/>
    </xf>
    <xf numFmtId="164" fontId="3" fillId="0" borderId="171" xfId="2" quotePrefix="1" applyNumberFormat="1" applyFont="1" applyBorder="1" applyAlignment="1">
      <alignment horizontal="center" vertical="center"/>
    </xf>
    <xf numFmtId="164" fontId="2" fillId="0" borderId="171" xfId="2" applyNumberFormat="1" applyFont="1" applyBorder="1" applyAlignment="1">
      <alignment horizontal="center" vertical="center"/>
    </xf>
    <xf numFmtId="0" fontId="2" fillId="0" borderId="172" xfId="2" applyFont="1" applyBorder="1" applyAlignment="1">
      <alignment horizontal="left" vertical="center"/>
    </xf>
    <xf numFmtId="0" fontId="2" fillId="0" borderId="172" xfId="2" applyFont="1" applyBorder="1" applyAlignment="1">
      <alignment horizontal="center" vertical="center"/>
    </xf>
    <xf numFmtId="0" fontId="2" fillId="0" borderId="173" xfId="0" applyFont="1" applyBorder="1" applyAlignment="1">
      <alignment horizontal="center" vertical="center"/>
    </xf>
    <xf numFmtId="43" fontId="2" fillId="0" borderId="173" xfId="1" applyFont="1" applyBorder="1" applyAlignment="1">
      <alignment vertical="center"/>
    </xf>
    <xf numFmtId="164" fontId="2" fillId="0" borderId="171" xfId="2" quotePrefix="1" applyNumberFormat="1" applyFont="1" applyBorder="1" applyAlignment="1">
      <alignment horizontal="center" vertical="center"/>
    </xf>
    <xf numFmtId="164" fontId="8" fillId="0" borderId="171" xfId="2" quotePrefix="1" applyNumberFormat="1" applyFont="1" applyBorder="1" applyAlignment="1">
      <alignment horizontal="center" vertical="center"/>
    </xf>
    <xf numFmtId="164" fontId="2" fillId="0" borderId="174" xfId="0" applyNumberFormat="1" applyFont="1" applyBorder="1" applyAlignment="1">
      <alignment horizontal="center" vertical="center"/>
    </xf>
    <xf numFmtId="0" fontId="2" fillId="5" borderId="175" xfId="2" applyFont="1" applyFill="1" applyBorder="1" applyAlignment="1">
      <alignment horizontal="center" vertical="center"/>
    </xf>
    <xf numFmtId="43" fontId="4" fillId="5" borderId="176" xfId="1" applyFont="1" applyFill="1" applyBorder="1" applyAlignment="1">
      <alignment vertical="center"/>
    </xf>
    <xf numFmtId="0" fontId="4" fillId="5" borderId="176" xfId="2" applyFont="1" applyFill="1" applyBorder="1" applyAlignment="1">
      <alignment vertical="center"/>
    </xf>
    <xf numFmtId="43" fontId="4" fillId="5" borderId="176" xfId="1" applyFont="1" applyFill="1" applyBorder="1" applyAlignment="1">
      <alignment horizontal="left" vertical="center"/>
    </xf>
    <xf numFmtId="0" fontId="4" fillId="5" borderId="176" xfId="2" applyFont="1" applyFill="1" applyBorder="1" applyAlignment="1">
      <alignment horizontal="center" vertical="center"/>
    </xf>
    <xf numFmtId="164" fontId="7" fillId="5" borderId="176" xfId="2" applyNumberFormat="1" applyFont="1" applyFill="1" applyBorder="1" applyAlignment="1">
      <alignment horizontal="right" vertical="center"/>
    </xf>
    <xf numFmtId="164" fontId="4" fillId="5" borderId="171" xfId="1" applyNumberFormat="1" applyFont="1" applyFill="1" applyBorder="1" applyAlignment="1">
      <alignment horizontal="center" vertical="center"/>
    </xf>
    <xf numFmtId="0" fontId="2" fillId="5" borderId="172" xfId="2" applyFont="1" applyFill="1" applyBorder="1" applyAlignment="1">
      <alignment horizontal="left" vertical="center"/>
    </xf>
    <xf numFmtId="0" fontId="4" fillId="5" borderId="172" xfId="2" applyFont="1" applyFill="1" applyBorder="1" applyAlignment="1">
      <alignment horizontal="center" vertical="center"/>
    </xf>
    <xf numFmtId="0" fontId="2" fillId="0" borderId="170" xfId="2" applyFont="1" applyBorder="1" applyAlignment="1">
      <alignment horizontal="center" vertical="center"/>
    </xf>
    <xf numFmtId="3" fontId="0" fillId="0" borderId="0" xfId="0" applyNumberFormat="1"/>
    <xf numFmtId="0" fontId="4" fillId="5" borderId="173" xfId="0" applyFont="1" applyFill="1" applyBorder="1" applyAlignment="1">
      <alignment horizontal="center" vertical="center"/>
    </xf>
    <xf numFmtId="0" fontId="8" fillId="3" borderId="177" xfId="2" applyFont="1" applyFill="1" applyBorder="1" applyAlignment="1">
      <alignment horizontal="center" vertical="center"/>
    </xf>
    <xf numFmtId="43" fontId="4" fillId="3" borderId="178" xfId="1" applyFont="1" applyFill="1" applyBorder="1" applyAlignment="1">
      <alignment vertical="center"/>
    </xf>
    <xf numFmtId="0" fontId="4" fillId="3" borderId="178" xfId="2" applyFont="1" applyFill="1" applyBorder="1" applyAlignment="1">
      <alignment vertical="center"/>
    </xf>
    <xf numFmtId="43" fontId="4" fillId="3" borderId="178" xfId="1" applyFont="1" applyFill="1" applyBorder="1" applyAlignment="1">
      <alignment horizontal="left" vertical="center"/>
    </xf>
    <xf numFmtId="0" fontId="4" fillId="3" borderId="178" xfId="2" applyFont="1" applyFill="1" applyBorder="1" applyAlignment="1">
      <alignment horizontal="center" vertical="center"/>
    </xf>
    <xf numFmtId="164" fontId="4" fillId="3" borderId="178" xfId="2" applyNumberFormat="1" applyFont="1" applyFill="1" applyBorder="1" applyAlignment="1">
      <alignment horizontal="center" vertical="center"/>
    </xf>
    <xf numFmtId="0" fontId="4" fillId="3" borderId="178" xfId="0" applyFont="1" applyFill="1" applyBorder="1" applyAlignment="1">
      <alignment horizontal="center" vertical="center"/>
    </xf>
    <xf numFmtId="43" fontId="8" fillId="3" borderId="179" xfId="1" applyFont="1" applyFill="1" applyBorder="1" applyAlignment="1">
      <alignment vertical="center"/>
    </xf>
    <xf numFmtId="0" fontId="8" fillId="0" borderId="180" xfId="2" quotePrefix="1" applyFont="1" applyBorder="1" applyAlignment="1">
      <alignment horizontal="center" vertical="center"/>
    </xf>
    <xf numFmtId="43" fontId="8" fillId="0" borderId="181" xfId="1" applyFont="1" applyFill="1" applyBorder="1" applyAlignment="1">
      <alignment horizontal="left" vertical="center"/>
    </xf>
    <xf numFmtId="0" fontId="7" fillId="0" borderId="181" xfId="2" applyFont="1" applyBorder="1" applyAlignment="1">
      <alignment horizontal="left" vertical="center"/>
    </xf>
    <xf numFmtId="0" fontId="11" fillId="0" borderId="181" xfId="2" applyFont="1" applyBorder="1" applyAlignment="1">
      <alignment horizontal="center" vertical="center"/>
    </xf>
    <xf numFmtId="164" fontId="3" fillId="0" borderId="181" xfId="2" quotePrefix="1" applyNumberFormat="1" applyFont="1" applyBorder="1" applyAlignment="1">
      <alignment horizontal="center" vertical="center"/>
    </xf>
    <xf numFmtId="164" fontId="2" fillId="0" borderId="181" xfId="2" applyNumberFormat="1" applyFont="1" applyBorder="1" applyAlignment="1">
      <alignment horizontal="center" vertical="center"/>
    </xf>
    <xf numFmtId="0" fontId="2" fillId="0" borderId="182" xfId="2" applyFont="1" applyBorder="1" applyAlignment="1">
      <alignment horizontal="left" vertical="center"/>
    </xf>
    <xf numFmtId="0" fontId="2" fillId="0" borderId="182" xfId="2" applyFont="1" applyBorder="1" applyAlignment="1">
      <alignment horizontal="center" vertical="center"/>
    </xf>
    <xf numFmtId="0" fontId="2" fillId="0" borderId="183" xfId="0" applyFont="1" applyBorder="1" applyAlignment="1">
      <alignment horizontal="center" vertical="center"/>
    </xf>
    <xf numFmtId="43" fontId="2" fillId="0" borderId="183" xfId="1" applyFont="1" applyBorder="1" applyAlignment="1">
      <alignment vertical="center"/>
    </xf>
    <xf numFmtId="164" fontId="8" fillId="0" borderId="181" xfId="2" quotePrefix="1" applyNumberFormat="1" applyFont="1" applyBorder="1" applyAlignment="1">
      <alignment horizontal="center" vertical="center"/>
    </xf>
    <xf numFmtId="164" fontId="2" fillId="0" borderId="181" xfId="2" quotePrefix="1" applyNumberFormat="1" applyFont="1" applyBorder="1" applyAlignment="1">
      <alignment horizontal="center" vertical="center"/>
    </xf>
    <xf numFmtId="0" fontId="4" fillId="0" borderId="181" xfId="2" applyFont="1" applyBorder="1" applyAlignment="1">
      <alignment horizontal="left" vertical="center"/>
    </xf>
    <xf numFmtId="0" fontId="4" fillId="0" borderId="181" xfId="2" applyFont="1" applyBorder="1" applyAlignment="1">
      <alignment horizontal="center" vertical="center"/>
    </xf>
    <xf numFmtId="43" fontId="8" fillId="0" borderId="181" xfId="1" applyFont="1" applyFill="1" applyBorder="1" applyAlignment="1">
      <alignment horizontal="left"/>
    </xf>
    <xf numFmtId="0" fontId="4" fillId="0" borderId="181" xfId="2" applyFont="1" applyBorder="1" applyAlignment="1">
      <alignment horizontal="left"/>
    </xf>
    <xf numFmtId="0" fontId="4" fillId="0" borderId="181" xfId="2" applyFont="1" applyBorder="1" applyAlignment="1">
      <alignment horizontal="center"/>
    </xf>
    <xf numFmtId="0" fontId="2" fillId="5" borderId="184" xfId="2" applyFont="1" applyFill="1" applyBorder="1" applyAlignment="1">
      <alignment horizontal="center"/>
    </xf>
    <xf numFmtId="43" fontId="4" fillId="5" borderId="185" xfId="1" applyFont="1" applyFill="1" applyBorder="1" applyAlignment="1"/>
    <xf numFmtId="0" fontId="4" fillId="5" borderId="185" xfId="2" applyFont="1" applyFill="1" applyBorder="1"/>
    <xf numFmtId="164" fontId="7" fillId="5" borderId="185" xfId="2" applyNumberFormat="1" applyFont="1" applyFill="1" applyBorder="1" applyAlignment="1">
      <alignment horizontal="right" vertical="center"/>
    </xf>
    <xf numFmtId="164" fontId="4" fillId="5" borderId="181" xfId="1" applyNumberFormat="1" applyFont="1" applyFill="1" applyBorder="1" applyAlignment="1">
      <alignment horizontal="center" vertical="center"/>
    </xf>
    <xf numFmtId="0" fontId="2" fillId="5" borderId="182" xfId="2" applyFont="1" applyFill="1" applyBorder="1" applyAlignment="1">
      <alignment horizontal="left" vertical="center"/>
    </xf>
    <xf numFmtId="0" fontId="4" fillId="5" borderId="182" xfId="2" applyFont="1" applyFill="1" applyBorder="1" applyAlignment="1">
      <alignment horizontal="center"/>
    </xf>
    <xf numFmtId="43" fontId="2" fillId="0" borderId="183" xfId="1" applyFont="1" applyBorder="1"/>
    <xf numFmtId="0" fontId="2" fillId="0" borderId="180" xfId="2" quotePrefix="1" applyFont="1" applyBorder="1" applyAlignment="1">
      <alignment horizontal="center"/>
    </xf>
    <xf numFmtId="43" fontId="2" fillId="0" borderId="181" xfId="1" applyFont="1" applyFill="1" applyBorder="1" applyAlignment="1">
      <alignment horizontal="left"/>
    </xf>
    <xf numFmtId="0" fontId="2" fillId="0" borderId="181" xfId="2" applyFont="1" applyBorder="1" applyAlignment="1">
      <alignment horizontal="left"/>
    </xf>
    <xf numFmtId="0" fontId="2" fillId="0" borderId="181" xfId="2" applyFont="1" applyBorder="1" applyAlignment="1">
      <alignment horizontal="center"/>
    </xf>
    <xf numFmtId="43" fontId="4" fillId="5" borderId="185" xfId="1" applyFont="1" applyFill="1" applyBorder="1" applyAlignment="1">
      <alignment horizontal="left"/>
    </xf>
    <xf numFmtId="0" fontId="4" fillId="5" borderId="185" xfId="2" applyFont="1" applyFill="1" applyBorder="1" applyAlignment="1">
      <alignment horizontal="center"/>
    </xf>
    <xf numFmtId="43" fontId="8" fillId="0" borderId="183" xfId="1" applyFont="1" applyBorder="1"/>
    <xf numFmtId="0" fontId="8" fillId="3" borderId="186" xfId="2" applyFont="1" applyFill="1" applyBorder="1" applyAlignment="1">
      <alignment horizontal="center" vertical="center"/>
    </xf>
    <xf numFmtId="43" fontId="4" fillId="3" borderId="187" xfId="1" applyFont="1" applyFill="1" applyBorder="1" applyAlignment="1">
      <alignment vertical="center"/>
    </xf>
    <xf numFmtId="0" fontId="4" fillId="3" borderId="187" xfId="2" applyFont="1" applyFill="1" applyBorder="1" applyAlignment="1">
      <alignment vertical="center"/>
    </xf>
    <xf numFmtId="43" fontId="4" fillId="3" borderId="187" xfId="1" applyFont="1" applyFill="1" applyBorder="1" applyAlignment="1">
      <alignment horizontal="left" vertical="center"/>
    </xf>
    <xf numFmtId="0" fontId="4" fillId="3" borderId="187" xfId="2" applyFont="1" applyFill="1" applyBorder="1" applyAlignment="1">
      <alignment horizontal="center" vertical="center"/>
    </xf>
    <xf numFmtId="164" fontId="4" fillId="3" borderId="187" xfId="2" applyNumberFormat="1" applyFont="1" applyFill="1" applyBorder="1" applyAlignment="1">
      <alignment horizontal="center" vertical="center"/>
    </xf>
    <xf numFmtId="0" fontId="4" fillId="3" borderId="187" xfId="0" applyFont="1" applyFill="1" applyBorder="1" applyAlignment="1">
      <alignment horizontal="center" vertical="center"/>
    </xf>
    <xf numFmtId="43" fontId="8" fillId="3" borderId="188" xfId="1" applyFont="1" applyFill="1" applyBorder="1" applyAlignment="1">
      <alignment vertical="center"/>
    </xf>
    <xf numFmtId="0" fontId="2" fillId="0" borderId="189" xfId="2" quotePrefix="1" applyFont="1" applyBorder="1" applyAlignment="1">
      <alignment horizontal="center"/>
    </xf>
    <xf numFmtId="164" fontId="8" fillId="0" borderId="190" xfId="2" quotePrefix="1" applyNumberFormat="1" applyFont="1" applyBorder="1" applyAlignment="1">
      <alignment horizontal="center" vertical="center"/>
    </xf>
    <xf numFmtId="164" fontId="2" fillId="0" borderId="190" xfId="2" applyNumberFormat="1" applyFont="1" applyBorder="1" applyAlignment="1">
      <alignment horizontal="center" vertical="center"/>
    </xf>
    <xf numFmtId="0" fontId="2" fillId="0" borderId="191" xfId="2" applyFont="1" applyBorder="1" applyAlignment="1">
      <alignment horizontal="left" vertical="center"/>
    </xf>
    <xf numFmtId="0" fontId="2" fillId="0" borderId="191" xfId="2" applyFont="1" applyBorder="1" applyAlignment="1">
      <alignment horizontal="center" vertical="center"/>
    </xf>
    <xf numFmtId="0" fontId="2" fillId="0" borderId="192" xfId="0" applyFont="1" applyBorder="1" applyAlignment="1">
      <alignment horizontal="center" vertical="center"/>
    </xf>
    <xf numFmtId="43" fontId="2" fillId="0" borderId="192" xfId="1" applyFont="1" applyBorder="1" applyAlignment="1">
      <alignment vertical="center"/>
    </xf>
    <xf numFmtId="43" fontId="2" fillId="0" borderId="190" xfId="1" applyFont="1" applyFill="1" applyBorder="1" applyAlignment="1">
      <alignment horizontal="left"/>
    </xf>
    <xf numFmtId="0" fontId="2" fillId="0" borderId="190" xfId="2" applyFont="1" applyBorder="1" applyAlignment="1">
      <alignment horizontal="left"/>
    </xf>
    <xf numFmtId="0" fontId="2" fillId="0" borderId="190" xfId="2" applyFont="1" applyBorder="1" applyAlignment="1">
      <alignment horizontal="center"/>
    </xf>
    <xf numFmtId="164" fontId="2" fillId="0" borderId="190" xfId="2" quotePrefix="1" applyNumberFormat="1" applyFont="1" applyBorder="1" applyAlignment="1">
      <alignment horizontal="center" vertical="center"/>
    </xf>
    <xf numFmtId="164" fontId="3" fillId="0" borderId="190" xfId="2" quotePrefix="1" applyNumberFormat="1" applyFont="1" applyBorder="1" applyAlignment="1">
      <alignment horizontal="center" vertical="center"/>
    </xf>
    <xf numFmtId="164" fontId="8" fillId="0" borderId="190" xfId="2" applyNumberFormat="1" applyFont="1" applyBorder="1" applyAlignment="1">
      <alignment horizontal="center"/>
    </xf>
    <xf numFmtId="164" fontId="2" fillId="0" borderId="190" xfId="2" applyNumberFormat="1" applyFont="1" applyBorder="1" applyAlignment="1">
      <alignment horizontal="center"/>
    </xf>
    <xf numFmtId="0" fontId="2" fillId="0" borderId="191" xfId="2" applyFont="1" applyBorder="1" applyAlignment="1">
      <alignment horizontal="left"/>
    </xf>
    <xf numFmtId="0" fontId="2" fillId="0" borderId="191" xfId="2" applyFont="1" applyBorder="1" applyAlignment="1">
      <alignment horizontal="center"/>
    </xf>
    <xf numFmtId="0" fontId="2" fillId="0" borderId="192" xfId="0" applyFont="1" applyBorder="1" applyAlignment="1">
      <alignment horizontal="center"/>
    </xf>
    <xf numFmtId="0" fontId="2" fillId="5" borderId="193" xfId="2" applyFont="1" applyFill="1" applyBorder="1" applyAlignment="1">
      <alignment horizontal="center"/>
    </xf>
    <xf numFmtId="43" fontId="4" fillId="5" borderId="194" xfId="1" applyFont="1" applyFill="1" applyBorder="1" applyAlignment="1"/>
    <xf numFmtId="0" fontId="4" fillId="5" borderId="194" xfId="2" applyFont="1" applyFill="1" applyBorder="1"/>
    <xf numFmtId="43" fontId="4" fillId="5" borderId="194" xfId="1" applyFont="1" applyFill="1" applyBorder="1" applyAlignment="1">
      <alignment horizontal="left"/>
    </xf>
    <xf numFmtId="0" fontId="4" fillId="5" borderId="194" xfId="2" applyFont="1" applyFill="1" applyBorder="1" applyAlignment="1">
      <alignment horizontal="center"/>
    </xf>
    <xf numFmtId="164" fontId="7" fillId="5" borderId="194" xfId="2" applyNumberFormat="1" applyFont="1" applyFill="1" applyBorder="1" applyAlignment="1">
      <alignment horizontal="right" vertical="center"/>
    </xf>
    <xf numFmtId="164" fontId="4" fillId="5" borderId="190" xfId="1" applyNumberFormat="1" applyFont="1" applyFill="1" applyBorder="1" applyAlignment="1">
      <alignment horizontal="center" vertical="center"/>
    </xf>
    <xf numFmtId="0" fontId="2" fillId="5" borderId="191" xfId="2" applyFont="1" applyFill="1" applyBorder="1" applyAlignment="1">
      <alignment horizontal="left" vertical="center"/>
    </xf>
    <xf numFmtId="0" fontId="4" fillId="5" borderId="191" xfId="2" applyFont="1" applyFill="1" applyBorder="1" applyAlignment="1">
      <alignment horizontal="center"/>
    </xf>
    <xf numFmtId="43" fontId="8" fillId="0" borderId="192" xfId="1" applyFont="1" applyBorder="1"/>
    <xf numFmtId="0" fontId="8" fillId="3" borderId="195" xfId="2" applyFont="1" applyFill="1" applyBorder="1" applyAlignment="1">
      <alignment horizontal="center" vertical="center"/>
    </xf>
    <xf numFmtId="43" fontId="4" fillId="3" borderId="0" xfId="1" applyFont="1" applyFill="1" applyBorder="1" applyAlignment="1">
      <alignment vertical="center"/>
    </xf>
    <xf numFmtId="0" fontId="4" fillId="3" borderId="0" xfId="2" applyFont="1" applyFill="1" applyBorder="1" applyAlignment="1">
      <alignment vertical="center"/>
    </xf>
    <xf numFmtId="43" fontId="4" fillId="3" borderId="0" xfId="1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center" vertical="center"/>
    </xf>
    <xf numFmtId="164" fontId="4" fillId="3" borderId="0" xfId="2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3" fontId="8" fillId="3" borderId="196" xfId="1" applyFont="1" applyFill="1" applyBorder="1" applyAlignment="1">
      <alignment vertical="center"/>
    </xf>
    <xf numFmtId="43" fontId="7" fillId="4" borderId="197" xfId="1" applyFont="1" applyFill="1" applyBorder="1" applyAlignment="1">
      <alignment horizontal="center" vertical="center"/>
    </xf>
    <xf numFmtId="0" fontId="7" fillId="4" borderId="197" xfId="2" applyFont="1" applyFill="1" applyBorder="1" applyAlignment="1">
      <alignment horizontal="center" vertical="center"/>
    </xf>
    <xf numFmtId="43" fontId="7" fillId="4" borderId="197" xfId="1" applyFont="1" applyFill="1" applyBorder="1" applyAlignment="1">
      <alignment horizontal="left" vertical="center"/>
    </xf>
    <xf numFmtId="164" fontId="7" fillId="4" borderId="197" xfId="2" applyNumberFormat="1" applyFont="1" applyFill="1" applyBorder="1" applyAlignment="1">
      <alignment horizontal="center" vertical="center"/>
    </xf>
    <xf numFmtId="0" fontId="7" fillId="4" borderId="198" xfId="2" applyFont="1" applyFill="1" applyBorder="1" applyAlignment="1">
      <alignment horizontal="center" vertical="center"/>
    </xf>
    <xf numFmtId="0" fontId="9" fillId="4" borderId="198" xfId="2" applyFont="1" applyFill="1" applyBorder="1" applyAlignment="1">
      <alignment horizontal="center" vertical="center"/>
    </xf>
    <xf numFmtId="0" fontId="9" fillId="4" borderId="199" xfId="2" applyFont="1" applyFill="1" applyBorder="1" applyAlignment="1">
      <alignment horizontal="center" vertical="center"/>
    </xf>
    <xf numFmtId="43" fontId="7" fillId="0" borderId="199" xfId="1" applyFont="1" applyBorder="1" applyAlignment="1">
      <alignment vertical="center"/>
    </xf>
    <xf numFmtId="164" fontId="0" fillId="0" borderId="0" xfId="0" applyNumberFormat="1"/>
    <xf numFmtId="0" fontId="8" fillId="0" borderId="189" xfId="2" quotePrefix="1" applyFont="1" applyBorder="1" applyAlignment="1">
      <alignment horizontal="center"/>
    </xf>
    <xf numFmtId="43" fontId="8" fillId="0" borderId="190" xfId="1" applyFont="1" applyFill="1" applyBorder="1" applyAlignment="1">
      <alignment horizontal="left"/>
    </xf>
    <xf numFmtId="0" fontId="8" fillId="0" borderId="190" xfId="2" applyFont="1" applyBorder="1" applyAlignment="1">
      <alignment horizontal="left"/>
    </xf>
    <xf numFmtId="0" fontId="8" fillId="0" borderId="190" xfId="2" applyFont="1" applyBorder="1" applyAlignment="1">
      <alignment horizontal="center"/>
    </xf>
    <xf numFmtId="43" fontId="2" fillId="0" borderId="192" xfId="1" applyFont="1" applyBorder="1"/>
    <xf numFmtId="0" fontId="8" fillId="5" borderId="194" xfId="2" applyFont="1" applyFill="1" applyBorder="1" applyAlignment="1">
      <alignment horizontal="center"/>
    </xf>
    <xf numFmtId="0" fontId="7" fillId="5" borderId="194" xfId="2" applyFont="1" applyFill="1" applyBorder="1"/>
    <xf numFmtId="43" fontId="7" fillId="5" borderId="194" xfId="1" applyFont="1" applyFill="1" applyBorder="1" applyAlignment="1">
      <alignment horizontal="left"/>
    </xf>
    <xf numFmtId="0" fontId="7" fillId="5" borderId="194" xfId="2" applyFont="1" applyFill="1" applyBorder="1" applyAlignment="1">
      <alignment horizontal="center"/>
    </xf>
    <xf numFmtId="0" fontId="7" fillId="5" borderId="191" xfId="2" applyFont="1" applyFill="1" applyBorder="1" applyAlignment="1">
      <alignment horizontal="center"/>
    </xf>
    <xf numFmtId="43" fontId="8" fillId="3" borderId="192" xfId="1" applyFont="1" applyFill="1" applyBorder="1"/>
    <xf numFmtId="0" fontId="8" fillId="3" borderId="200" xfId="2" applyFont="1" applyFill="1" applyBorder="1" applyAlignment="1">
      <alignment horizontal="center" vertical="center"/>
    </xf>
    <xf numFmtId="43" fontId="4" fillId="3" borderId="201" xfId="1" applyFont="1" applyFill="1" applyBorder="1" applyAlignment="1">
      <alignment vertical="center"/>
    </xf>
    <xf numFmtId="0" fontId="4" fillId="3" borderId="201" xfId="2" applyFont="1" applyFill="1" applyBorder="1" applyAlignment="1">
      <alignment vertical="center"/>
    </xf>
    <xf numFmtId="43" fontId="4" fillId="3" borderId="201" xfId="1" applyFont="1" applyFill="1" applyBorder="1" applyAlignment="1">
      <alignment horizontal="left" vertical="center"/>
    </xf>
    <xf numFmtId="0" fontId="4" fillId="3" borderId="201" xfId="2" applyFont="1" applyFill="1" applyBorder="1" applyAlignment="1">
      <alignment horizontal="center" vertical="center"/>
    </xf>
    <xf numFmtId="164" fontId="4" fillId="3" borderId="201" xfId="2" applyNumberFormat="1" applyFont="1" applyFill="1" applyBorder="1" applyAlignment="1">
      <alignment horizontal="center" vertical="center"/>
    </xf>
    <xf numFmtId="0" fontId="4" fillId="3" borderId="201" xfId="0" applyFont="1" applyFill="1" applyBorder="1" applyAlignment="1">
      <alignment horizontal="center" vertical="center"/>
    </xf>
    <xf numFmtId="43" fontId="8" fillId="3" borderId="202" xfId="1" applyFont="1" applyFill="1" applyBorder="1" applyAlignment="1">
      <alignment vertical="center"/>
    </xf>
    <xf numFmtId="0" fontId="8" fillId="0" borderId="203" xfId="2" quotePrefix="1" applyFont="1" applyBorder="1" applyAlignment="1">
      <alignment horizontal="center"/>
    </xf>
    <xf numFmtId="43" fontId="8" fillId="0" borderId="204" xfId="1" applyFont="1" applyFill="1" applyBorder="1" applyAlignment="1">
      <alignment horizontal="left"/>
    </xf>
    <xf numFmtId="0" fontId="8" fillId="0" borderId="204" xfId="2" applyFont="1" applyBorder="1" applyAlignment="1">
      <alignment horizontal="left"/>
    </xf>
    <xf numFmtId="0" fontId="8" fillId="0" borderId="204" xfId="2" applyFont="1" applyBorder="1" applyAlignment="1">
      <alignment horizontal="center"/>
    </xf>
    <xf numFmtId="164" fontId="3" fillId="0" borderId="204" xfId="2" quotePrefix="1" applyNumberFormat="1" applyFont="1" applyBorder="1" applyAlignment="1">
      <alignment horizontal="center" vertical="center"/>
    </xf>
    <xf numFmtId="164" fontId="2" fillId="0" borderId="204" xfId="2" applyNumberFormat="1" applyFont="1" applyBorder="1" applyAlignment="1">
      <alignment horizontal="center" vertical="center"/>
    </xf>
    <xf numFmtId="0" fontId="2" fillId="0" borderId="205" xfId="2" applyFont="1" applyBorder="1" applyAlignment="1">
      <alignment horizontal="left" vertical="center"/>
    </xf>
    <xf numFmtId="0" fontId="2" fillId="0" borderId="205" xfId="2" applyFont="1" applyBorder="1" applyAlignment="1">
      <alignment horizontal="center" vertical="center"/>
    </xf>
    <xf numFmtId="0" fontId="2" fillId="0" borderId="206" xfId="0" applyFont="1" applyBorder="1" applyAlignment="1">
      <alignment horizontal="center" vertical="center"/>
    </xf>
    <xf numFmtId="43" fontId="2" fillId="0" borderId="206" xfId="1" applyFont="1" applyBorder="1" applyAlignment="1">
      <alignment vertical="center"/>
    </xf>
    <xf numFmtId="164" fontId="8" fillId="0" borderId="204" xfId="2" quotePrefix="1" applyNumberFormat="1" applyFont="1" applyBorder="1" applyAlignment="1">
      <alignment horizontal="center" vertical="center"/>
    </xf>
    <xf numFmtId="164" fontId="2" fillId="0" borderId="204" xfId="2" quotePrefix="1" applyNumberFormat="1" applyFont="1" applyBorder="1" applyAlignment="1">
      <alignment horizontal="center" vertical="center"/>
    </xf>
    <xf numFmtId="0" fontId="2" fillId="0" borderId="204" xfId="2" applyFont="1" applyBorder="1" applyAlignment="1">
      <alignment horizontal="left"/>
    </xf>
    <xf numFmtId="0" fontId="2" fillId="0" borderId="204" xfId="2" applyFont="1" applyBorder="1" applyAlignment="1">
      <alignment horizontal="center"/>
    </xf>
    <xf numFmtId="164" fontId="8" fillId="0" borderId="204" xfId="2" applyNumberFormat="1" applyFont="1" applyBorder="1" applyAlignment="1">
      <alignment horizontal="center"/>
    </xf>
    <xf numFmtId="164" fontId="2" fillId="0" borderId="204" xfId="2" applyNumberFormat="1" applyFont="1" applyBorder="1" applyAlignment="1">
      <alignment horizontal="center"/>
    </xf>
    <xf numFmtId="0" fontId="2" fillId="0" borderId="205" xfId="2" applyFont="1" applyBorder="1" applyAlignment="1">
      <alignment horizontal="left"/>
    </xf>
    <xf numFmtId="0" fontId="2" fillId="0" borderId="205" xfId="2" applyFont="1" applyBorder="1" applyAlignment="1">
      <alignment horizontal="center"/>
    </xf>
    <xf numFmtId="0" fontId="2" fillId="0" borderId="206" xfId="0" applyFont="1" applyBorder="1" applyAlignment="1">
      <alignment horizontal="center"/>
    </xf>
    <xf numFmtId="43" fontId="2" fillId="0" borderId="206" xfId="1" applyFont="1" applyBorder="1"/>
    <xf numFmtId="0" fontId="8" fillId="5" borderId="207" xfId="2" applyFont="1" applyFill="1" applyBorder="1" applyAlignment="1">
      <alignment horizontal="center"/>
    </xf>
    <xf numFmtId="43" fontId="4" fillId="5" borderId="207" xfId="1" applyFont="1" applyFill="1" applyBorder="1" applyAlignment="1"/>
    <xf numFmtId="0" fontId="7" fillId="5" borderId="207" xfId="2" applyFont="1" applyFill="1" applyBorder="1"/>
    <xf numFmtId="43" fontId="7" fillId="5" borderId="207" xfId="1" applyFont="1" applyFill="1" applyBorder="1" applyAlignment="1">
      <alignment horizontal="left"/>
    </xf>
    <xf numFmtId="0" fontId="7" fillId="5" borderId="207" xfId="2" applyFont="1" applyFill="1" applyBorder="1" applyAlignment="1">
      <alignment horizontal="center"/>
    </xf>
    <xf numFmtId="164" fontId="7" fillId="5" borderId="207" xfId="2" applyNumberFormat="1" applyFont="1" applyFill="1" applyBorder="1" applyAlignment="1">
      <alignment horizontal="right" vertical="center"/>
    </xf>
    <xf numFmtId="164" fontId="4" fillId="5" borderId="204" xfId="1" applyNumberFormat="1" applyFont="1" applyFill="1" applyBorder="1" applyAlignment="1">
      <alignment horizontal="center" vertical="center"/>
    </xf>
    <xf numFmtId="0" fontId="2" fillId="5" borderId="205" xfId="2" applyFont="1" applyFill="1" applyBorder="1" applyAlignment="1">
      <alignment horizontal="left" vertical="center"/>
    </xf>
    <xf numFmtId="0" fontId="7" fillId="5" borderId="205" xfId="2" applyFont="1" applyFill="1" applyBorder="1" applyAlignment="1">
      <alignment horizontal="center"/>
    </xf>
    <xf numFmtId="43" fontId="8" fillId="3" borderId="206" xfId="1" applyFont="1" applyFill="1" applyBorder="1"/>
    <xf numFmtId="0" fontId="8" fillId="0" borderId="206" xfId="2" quotePrefix="1" applyFont="1" applyBorder="1" applyAlignment="1">
      <alignment horizontal="center"/>
    </xf>
    <xf numFmtId="43" fontId="8" fillId="0" borderId="210" xfId="1" applyFont="1" applyFill="1" applyBorder="1" applyAlignment="1">
      <alignment vertical="center"/>
    </xf>
    <xf numFmtId="0" fontId="2" fillId="0" borderId="204" xfId="2" applyFont="1" applyBorder="1" applyAlignment="1">
      <alignment vertical="center"/>
    </xf>
    <xf numFmtId="0" fontId="8" fillId="3" borderId="211" xfId="2" applyFont="1" applyFill="1" applyBorder="1" applyAlignment="1">
      <alignment horizontal="center" vertical="center"/>
    </xf>
    <xf numFmtId="43" fontId="4" fillId="3" borderId="212" xfId="1" applyFont="1" applyFill="1" applyBorder="1" applyAlignment="1">
      <alignment vertical="center"/>
    </xf>
    <xf numFmtId="0" fontId="4" fillId="3" borderId="212" xfId="2" applyFont="1" applyFill="1" applyBorder="1" applyAlignment="1">
      <alignment vertical="center"/>
    </xf>
    <xf numFmtId="43" fontId="4" fillId="3" borderId="212" xfId="1" applyFont="1" applyFill="1" applyBorder="1" applyAlignment="1">
      <alignment horizontal="left" vertical="center"/>
    </xf>
    <xf numFmtId="0" fontId="4" fillId="3" borderId="212" xfId="2" applyFont="1" applyFill="1" applyBorder="1" applyAlignment="1">
      <alignment horizontal="center" vertical="center"/>
    </xf>
    <xf numFmtId="164" fontId="4" fillId="3" borderId="212" xfId="2" applyNumberFormat="1" applyFont="1" applyFill="1" applyBorder="1" applyAlignment="1">
      <alignment horizontal="center" vertical="center"/>
    </xf>
    <xf numFmtId="0" fontId="4" fillId="3" borderId="212" xfId="0" applyFont="1" applyFill="1" applyBorder="1" applyAlignment="1">
      <alignment horizontal="center" vertical="center"/>
    </xf>
    <xf numFmtId="43" fontId="8" fillId="3" borderId="213" xfId="1" applyFont="1" applyFill="1" applyBorder="1" applyAlignment="1">
      <alignment vertical="center"/>
    </xf>
    <xf numFmtId="0" fontId="2" fillId="0" borderId="214" xfId="2" quotePrefix="1" applyFont="1" applyBorder="1" applyAlignment="1">
      <alignment horizontal="center"/>
    </xf>
    <xf numFmtId="43" fontId="2" fillId="0" borderId="215" xfId="1" applyFont="1" applyFill="1" applyBorder="1" applyAlignment="1">
      <alignment horizontal="left"/>
    </xf>
    <xf numFmtId="0" fontId="4" fillId="0" borderId="215" xfId="2" applyFont="1" applyBorder="1" applyAlignment="1">
      <alignment horizontal="left"/>
    </xf>
    <xf numFmtId="0" fontId="4" fillId="0" borderId="215" xfId="2" applyFont="1" applyBorder="1" applyAlignment="1">
      <alignment horizontal="center"/>
    </xf>
    <xf numFmtId="164" fontId="3" fillId="0" borderId="215" xfId="2" quotePrefix="1" applyNumberFormat="1" applyFont="1" applyBorder="1" applyAlignment="1">
      <alignment horizontal="center" vertical="center"/>
    </xf>
    <xf numFmtId="164" fontId="2" fillId="0" borderId="215" xfId="2" applyNumberFormat="1" applyFont="1" applyBorder="1" applyAlignment="1">
      <alignment horizontal="center" vertical="center"/>
    </xf>
    <xf numFmtId="0" fontId="2" fillId="0" borderId="216" xfId="2" applyFont="1" applyBorder="1" applyAlignment="1">
      <alignment horizontal="left" vertical="center"/>
    </xf>
    <xf numFmtId="0" fontId="2" fillId="0" borderId="216" xfId="2" applyFont="1" applyBorder="1" applyAlignment="1">
      <alignment horizontal="center" vertical="center"/>
    </xf>
    <xf numFmtId="0" fontId="2" fillId="0" borderId="217" xfId="0" applyFont="1" applyBorder="1" applyAlignment="1">
      <alignment horizontal="center" vertical="center"/>
    </xf>
    <xf numFmtId="43" fontId="2" fillId="0" borderId="217" xfId="1" applyFont="1" applyBorder="1" applyAlignment="1">
      <alignment vertical="center"/>
    </xf>
    <xf numFmtId="164" fontId="8" fillId="0" borderId="215" xfId="2" quotePrefix="1" applyNumberFormat="1" applyFont="1" applyBorder="1" applyAlignment="1">
      <alignment horizontal="center" vertical="center"/>
    </xf>
    <xf numFmtId="164" fontId="2" fillId="0" borderId="215" xfId="2" quotePrefix="1" applyNumberFormat="1" applyFont="1" applyBorder="1" applyAlignment="1">
      <alignment horizontal="center" vertical="center"/>
    </xf>
    <xf numFmtId="0" fontId="2" fillId="0" borderId="215" xfId="2" applyFont="1" applyBorder="1" applyAlignment="1">
      <alignment horizontal="left"/>
    </xf>
    <xf numFmtId="0" fontId="2" fillId="0" borderId="215" xfId="2" applyFont="1" applyBorder="1" applyAlignment="1">
      <alignment horizontal="center"/>
    </xf>
    <xf numFmtId="164" fontId="2" fillId="0" borderId="215" xfId="2" applyNumberFormat="1" applyFont="1" applyBorder="1" applyAlignment="1">
      <alignment horizontal="center"/>
    </xf>
    <xf numFmtId="0" fontId="2" fillId="0" borderId="216" xfId="2" applyFont="1" applyBorder="1" applyAlignment="1">
      <alignment horizontal="left"/>
    </xf>
    <xf numFmtId="0" fontId="2" fillId="0" borderId="216" xfId="2" applyFont="1" applyBorder="1" applyAlignment="1">
      <alignment horizontal="center"/>
    </xf>
    <xf numFmtId="0" fontId="2" fillId="0" borderId="217" xfId="0" applyFont="1" applyBorder="1" applyAlignment="1">
      <alignment horizontal="center"/>
    </xf>
    <xf numFmtId="0" fontId="2" fillId="5" borderId="218" xfId="2" applyFont="1" applyFill="1" applyBorder="1" applyAlignment="1">
      <alignment horizontal="center"/>
    </xf>
    <xf numFmtId="43" fontId="4" fillId="5" borderId="219" xfId="1" applyFont="1" applyFill="1" applyBorder="1" applyAlignment="1"/>
    <xf numFmtId="0" fontId="4" fillId="5" borderId="219" xfId="2" applyFont="1" applyFill="1" applyBorder="1"/>
    <xf numFmtId="43" fontId="2" fillId="5" borderId="215" xfId="1" applyFont="1" applyFill="1" applyBorder="1" applyAlignment="1">
      <alignment horizontal="left" vertical="center"/>
    </xf>
    <xf numFmtId="14" fontId="2" fillId="5" borderId="215" xfId="2" quotePrefix="1" applyNumberFormat="1" applyFont="1" applyFill="1" applyBorder="1" applyAlignment="1">
      <alignment horizontal="center" vertical="center"/>
    </xf>
    <xf numFmtId="164" fontId="7" fillId="5" borderId="219" xfId="2" applyNumberFormat="1" applyFont="1" applyFill="1" applyBorder="1" applyAlignment="1">
      <alignment horizontal="right" vertical="center"/>
    </xf>
    <xf numFmtId="164" fontId="4" fillId="5" borderId="215" xfId="1" applyNumberFormat="1" applyFont="1" applyFill="1" applyBorder="1" applyAlignment="1">
      <alignment horizontal="center" vertical="center"/>
    </xf>
    <xf numFmtId="0" fontId="2" fillId="5" borderId="216" xfId="2" applyFont="1" applyFill="1" applyBorder="1" applyAlignment="1">
      <alignment horizontal="left" vertical="center"/>
    </xf>
    <xf numFmtId="0" fontId="4" fillId="5" borderId="216" xfId="2" applyFont="1" applyFill="1" applyBorder="1" applyAlignment="1">
      <alignment horizontal="center"/>
    </xf>
    <xf numFmtId="43" fontId="8" fillId="3" borderId="217" xfId="1" applyFont="1" applyFill="1" applyBorder="1"/>
    <xf numFmtId="0" fontId="8" fillId="3" borderId="220" xfId="2" applyFont="1" applyFill="1" applyBorder="1" applyAlignment="1">
      <alignment horizontal="center" vertical="center"/>
    </xf>
    <xf numFmtId="43" fontId="4" fillId="3" borderId="221" xfId="1" applyFont="1" applyFill="1" applyBorder="1" applyAlignment="1">
      <alignment vertical="center"/>
    </xf>
    <xf numFmtId="0" fontId="4" fillId="3" borderId="221" xfId="2" applyFont="1" applyFill="1" applyBorder="1" applyAlignment="1">
      <alignment vertical="center"/>
    </xf>
    <xf numFmtId="43" fontId="4" fillId="3" borderId="221" xfId="1" applyFont="1" applyFill="1" applyBorder="1" applyAlignment="1">
      <alignment horizontal="left" vertical="center"/>
    </xf>
    <xf numFmtId="0" fontId="4" fillId="3" borderId="221" xfId="2" applyFont="1" applyFill="1" applyBorder="1" applyAlignment="1">
      <alignment horizontal="center" vertical="center"/>
    </xf>
    <xf numFmtId="164" fontId="4" fillId="3" borderId="221" xfId="2" applyNumberFormat="1" applyFont="1" applyFill="1" applyBorder="1" applyAlignment="1">
      <alignment horizontal="center" vertical="center"/>
    </xf>
    <xf numFmtId="0" fontId="4" fillId="3" borderId="221" xfId="0" applyFont="1" applyFill="1" applyBorder="1" applyAlignment="1">
      <alignment horizontal="center" vertical="center"/>
    </xf>
    <xf numFmtId="43" fontId="8" fillId="3" borderId="222" xfId="1" applyFont="1" applyFill="1" applyBorder="1" applyAlignment="1">
      <alignment vertical="center"/>
    </xf>
    <xf numFmtId="0" fontId="2" fillId="0" borderId="223" xfId="2" quotePrefix="1" applyFont="1" applyBorder="1" applyAlignment="1">
      <alignment horizontal="center"/>
    </xf>
    <xf numFmtId="43" fontId="2" fillId="0" borderId="224" xfId="1" applyFont="1" applyFill="1" applyBorder="1" applyAlignment="1">
      <alignment horizontal="left"/>
    </xf>
    <xf numFmtId="0" fontId="4" fillId="0" borderId="224" xfId="2" applyFont="1" applyBorder="1" applyAlignment="1">
      <alignment horizontal="left"/>
    </xf>
    <xf numFmtId="0" fontId="4" fillId="0" borderId="224" xfId="2" applyFont="1" applyBorder="1" applyAlignment="1">
      <alignment horizontal="center"/>
    </xf>
    <xf numFmtId="164" fontId="3" fillId="0" borderId="224" xfId="2" quotePrefix="1" applyNumberFormat="1" applyFont="1" applyBorder="1" applyAlignment="1">
      <alignment horizontal="center" vertical="center"/>
    </xf>
    <xf numFmtId="164" fontId="2" fillId="0" borderId="224" xfId="2" applyNumberFormat="1" applyFont="1" applyBorder="1" applyAlignment="1">
      <alignment horizontal="center" vertical="center"/>
    </xf>
    <xf numFmtId="0" fontId="2" fillId="0" borderId="225" xfId="2" applyFont="1" applyBorder="1" applyAlignment="1">
      <alignment horizontal="left" vertical="center"/>
    </xf>
    <xf numFmtId="0" fontId="2" fillId="0" borderId="225" xfId="2" applyFont="1" applyBorder="1" applyAlignment="1">
      <alignment horizontal="center" vertical="center"/>
    </xf>
    <xf numFmtId="0" fontId="2" fillId="0" borderId="226" xfId="0" applyFont="1" applyBorder="1" applyAlignment="1">
      <alignment horizontal="center" vertical="center"/>
    </xf>
    <xf numFmtId="43" fontId="2" fillId="0" borderId="226" xfId="1" applyFont="1" applyBorder="1" applyAlignment="1">
      <alignment vertical="center"/>
    </xf>
    <xf numFmtId="164" fontId="8" fillId="0" borderId="224" xfId="2" quotePrefix="1" applyNumberFormat="1" applyFont="1" applyBorder="1" applyAlignment="1">
      <alignment horizontal="center" vertical="center"/>
    </xf>
    <xf numFmtId="164" fontId="2" fillId="0" borderId="224" xfId="2" quotePrefix="1" applyNumberFormat="1" applyFont="1" applyBorder="1" applyAlignment="1">
      <alignment horizontal="center" vertical="center"/>
    </xf>
    <xf numFmtId="0" fontId="2" fillId="0" borderId="224" xfId="2" applyFont="1" applyBorder="1" applyAlignment="1">
      <alignment horizontal="left"/>
    </xf>
    <xf numFmtId="0" fontId="2" fillId="0" borderId="224" xfId="2" applyFont="1" applyBorder="1" applyAlignment="1">
      <alignment horizontal="center"/>
    </xf>
    <xf numFmtId="0" fontId="2" fillId="0" borderId="225" xfId="2" applyFont="1" applyBorder="1" applyAlignment="1">
      <alignment horizontal="left"/>
    </xf>
    <xf numFmtId="0" fontId="2" fillId="0" borderId="225" xfId="2" applyFont="1" applyBorder="1" applyAlignment="1">
      <alignment horizontal="center"/>
    </xf>
    <xf numFmtId="0" fontId="2" fillId="0" borderId="226" xfId="0" applyFont="1" applyBorder="1" applyAlignment="1">
      <alignment horizontal="center"/>
    </xf>
    <xf numFmtId="164" fontId="3" fillId="0" borderId="224" xfId="2" applyNumberFormat="1" applyFont="1" applyBorder="1" applyAlignment="1">
      <alignment horizontal="center" vertical="center"/>
    </xf>
    <xf numFmtId="0" fontId="2" fillId="5" borderId="227" xfId="2" applyFont="1" applyFill="1" applyBorder="1" applyAlignment="1">
      <alignment horizontal="center"/>
    </xf>
    <xf numFmtId="43" fontId="4" fillId="5" borderId="228" xfId="1" applyFont="1" applyFill="1" applyBorder="1" applyAlignment="1"/>
    <xf numFmtId="0" fontId="4" fillId="5" borderId="228" xfId="2" applyFont="1" applyFill="1" applyBorder="1"/>
    <xf numFmtId="43" fontId="4" fillId="5" borderId="228" xfId="1" applyFont="1" applyFill="1" applyBorder="1" applyAlignment="1">
      <alignment horizontal="left"/>
    </xf>
    <xf numFmtId="0" fontId="4" fillId="5" borderId="228" xfId="2" applyFont="1" applyFill="1" applyBorder="1" applyAlignment="1">
      <alignment horizontal="center"/>
    </xf>
    <xf numFmtId="164" fontId="7" fillId="5" borderId="228" xfId="2" applyNumberFormat="1" applyFont="1" applyFill="1" applyBorder="1" applyAlignment="1">
      <alignment horizontal="right" vertical="center"/>
    </xf>
    <xf numFmtId="164" fontId="4" fillId="5" borderId="224" xfId="1" applyNumberFormat="1" applyFont="1" applyFill="1" applyBorder="1" applyAlignment="1">
      <alignment horizontal="center" vertical="center"/>
    </xf>
    <xf numFmtId="0" fontId="2" fillId="5" borderId="225" xfId="2" applyFont="1" applyFill="1" applyBorder="1" applyAlignment="1">
      <alignment horizontal="left" vertical="center"/>
    </xf>
    <xf numFmtId="0" fontId="4" fillId="5" borderId="225" xfId="2" applyFont="1" applyFill="1" applyBorder="1" applyAlignment="1">
      <alignment horizontal="center"/>
    </xf>
    <xf numFmtId="43" fontId="8" fillId="3" borderId="226" xfId="1" applyFont="1" applyFill="1" applyBorder="1"/>
    <xf numFmtId="0" fontId="8" fillId="3" borderId="229" xfId="2" applyFont="1" applyFill="1" applyBorder="1" applyAlignment="1">
      <alignment horizontal="center" vertical="center"/>
    </xf>
    <xf numFmtId="43" fontId="4" fillId="3" borderId="230" xfId="1" applyFont="1" applyFill="1" applyBorder="1" applyAlignment="1">
      <alignment vertical="center"/>
    </xf>
    <xf numFmtId="0" fontId="4" fillId="3" borderId="230" xfId="2" applyFont="1" applyFill="1" applyBorder="1" applyAlignment="1">
      <alignment vertical="center"/>
    </xf>
    <xf numFmtId="43" fontId="4" fillId="3" borderId="230" xfId="1" applyFont="1" applyFill="1" applyBorder="1" applyAlignment="1">
      <alignment horizontal="left" vertical="center"/>
    </xf>
    <xf numFmtId="0" fontId="4" fillId="3" borderId="230" xfId="2" applyFont="1" applyFill="1" applyBorder="1" applyAlignment="1">
      <alignment horizontal="center" vertical="center"/>
    </xf>
    <xf numFmtId="164" fontId="4" fillId="3" borderId="230" xfId="2" applyNumberFormat="1" applyFont="1" applyFill="1" applyBorder="1" applyAlignment="1">
      <alignment horizontal="center" vertical="center"/>
    </xf>
    <xf numFmtId="0" fontId="4" fillId="3" borderId="230" xfId="0" applyFont="1" applyFill="1" applyBorder="1" applyAlignment="1">
      <alignment horizontal="center" vertical="center"/>
    </xf>
    <xf numFmtId="43" fontId="8" fillId="3" borderId="231" xfId="1" applyFont="1" applyFill="1" applyBorder="1" applyAlignment="1">
      <alignment vertical="center"/>
    </xf>
    <xf numFmtId="0" fontId="2" fillId="0" borderId="232" xfId="2" quotePrefix="1" applyFont="1" applyBorder="1" applyAlignment="1">
      <alignment horizontal="center"/>
    </xf>
    <xf numFmtId="43" fontId="2" fillId="0" borderId="233" xfId="1" applyFont="1" applyFill="1" applyBorder="1" applyAlignment="1">
      <alignment horizontal="left"/>
    </xf>
    <xf numFmtId="0" fontId="4" fillId="0" borderId="233" xfId="2" applyFont="1" applyBorder="1" applyAlignment="1">
      <alignment horizontal="left"/>
    </xf>
    <xf numFmtId="0" fontId="4" fillId="0" borderId="233" xfId="2" applyFont="1" applyBorder="1" applyAlignment="1">
      <alignment horizontal="center"/>
    </xf>
    <xf numFmtId="164" fontId="8" fillId="0" borderId="233" xfId="2" quotePrefix="1" applyNumberFormat="1" applyFont="1" applyBorder="1" applyAlignment="1">
      <alignment horizontal="center" vertical="center"/>
    </xf>
    <xf numFmtId="164" fontId="2" fillId="0" borderId="233" xfId="2" applyNumberFormat="1" applyFont="1" applyBorder="1" applyAlignment="1">
      <alignment horizontal="center" vertical="center"/>
    </xf>
    <xf numFmtId="0" fontId="2" fillId="0" borderId="234" xfId="2" applyFont="1" applyBorder="1" applyAlignment="1">
      <alignment horizontal="left" vertical="center"/>
    </xf>
    <xf numFmtId="0" fontId="2" fillId="0" borderId="234" xfId="2" applyFont="1" applyBorder="1" applyAlignment="1">
      <alignment horizontal="center" vertical="center"/>
    </xf>
    <xf numFmtId="0" fontId="2" fillId="0" borderId="235" xfId="0" applyFont="1" applyBorder="1" applyAlignment="1">
      <alignment horizontal="center" vertical="center"/>
    </xf>
    <xf numFmtId="43" fontId="2" fillId="0" borderId="235" xfId="1" applyFont="1" applyBorder="1" applyAlignment="1">
      <alignment vertical="center"/>
    </xf>
    <xf numFmtId="164" fontId="2" fillId="0" borderId="233" xfId="2" quotePrefix="1" applyNumberFormat="1" applyFont="1" applyBorder="1" applyAlignment="1">
      <alignment horizontal="center" vertical="center"/>
    </xf>
    <xf numFmtId="0" fontId="2" fillId="0" borderId="233" xfId="2" applyFont="1" applyBorder="1" applyAlignment="1">
      <alignment horizontal="left"/>
    </xf>
    <xf numFmtId="0" fontId="2" fillId="0" borderId="233" xfId="2" applyFont="1" applyBorder="1" applyAlignment="1">
      <alignment horizontal="center"/>
    </xf>
    <xf numFmtId="164" fontId="3" fillId="0" borderId="233" xfId="2" quotePrefix="1" applyNumberFormat="1" applyFont="1" applyBorder="1" applyAlignment="1">
      <alignment horizontal="center" vertical="center"/>
    </xf>
    <xf numFmtId="0" fontId="2" fillId="5" borderId="236" xfId="2" applyFont="1" applyFill="1" applyBorder="1" applyAlignment="1">
      <alignment horizontal="center"/>
    </xf>
    <xf numFmtId="43" fontId="4" fillId="5" borderId="237" xfId="1" applyFont="1" applyFill="1" applyBorder="1" applyAlignment="1"/>
    <xf numFmtId="0" fontId="4" fillId="5" borderId="237" xfId="2" applyFont="1" applyFill="1" applyBorder="1"/>
    <xf numFmtId="43" fontId="4" fillId="5" borderId="237" xfId="1" applyFont="1" applyFill="1" applyBorder="1" applyAlignment="1">
      <alignment horizontal="left"/>
    </xf>
    <xf numFmtId="0" fontId="4" fillId="5" borderId="237" xfId="2" applyFont="1" applyFill="1" applyBorder="1" applyAlignment="1">
      <alignment horizontal="center"/>
    </xf>
    <xf numFmtId="164" fontId="7" fillId="5" borderId="237" xfId="2" applyNumberFormat="1" applyFont="1" applyFill="1" applyBorder="1" applyAlignment="1">
      <alignment horizontal="right" vertical="center"/>
    </xf>
    <xf numFmtId="164" fontId="4" fillId="5" borderId="233" xfId="1" applyNumberFormat="1" applyFont="1" applyFill="1" applyBorder="1" applyAlignment="1">
      <alignment horizontal="center" vertical="center"/>
    </xf>
    <xf numFmtId="0" fontId="2" fillId="5" borderId="234" xfId="2" applyFont="1" applyFill="1" applyBorder="1" applyAlignment="1">
      <alignment horizontal="left" vertical="center"/>
    </xf>
    <xf numFmtId="0" fontId="4" fillId="5" borderId="234" xfId="2" applyFont="1" applyFill="1" applyBorder="1" applyAlignment="1">
      <alignment horizontal="center"/>
    </xf>
    <xf numFmtId="43" fontId="8" fillId="3" borderId="235" xfId="1" applyFont="1" applyFill="1" applyBorder="1"/>
    <xf numFmtId="0" fontId="8" fillId="3" borderId="238" xfId="2" applyFont="1" applyFill="1" applyBorder="1" applyAlignment="1">
      <alignment horizontal="center" vertical="center"/>
    </xf>
    <xf numFmtId="43" fontId="4" fillId="3" borderId="239" xfId="1" applyFont="1" applyFill="1" applyBorder="1" applyAlignment="1">
      <alignment vertical="center"/>
    </xf>
    <xf numFmtId="0" fontId="4" fillId="3" borderId="239" xfId="2" applyFont="1" applyFill="1" applyBorder="1" applyAlignment="1">
      <alignment vertical="center"/>
    </xf>
    <xf numFmtId="43" fontId="4" fillId="3" borderId="239" xfId="1" applyFont="1" applyFill="1" applyBorder="1" applyAlignment="1">
      <alignment horizontal="left" vertical="center"/>
    </xf>
    <xf numFmtId="0" fontId="4" fillId="3" borderId="239" xfId="2" applyFont="1" applyFill="1" applyBorder="1" applyAlignment="1">
      <alignment horizontal="center" vertical="center"/>
    </xf>
    <xf numFmtId="164" fontId="4" fillId="3" borderId="239" xfId="2" applyNumberFormat="1" applyFont="1" applyFill="1" applyBorder="1" applyAlignment="1">
      <alignment horizontal="center" vertical="center"/>
    </xf>
    <xf numFmtId="0" fontId="4" fillId="3" borderId="239" xfId="0" applyFont="1" applyFill="1" applyBorder="1" applyAlignment="1">
      <alignment horizontal="center" vertical="center"/>
    </xf>
    <xf numFmtId="43" fontId="8" fillId="3" borderId="240" xfId="1" applyFont="1" applyFill="1" applyBorder="1" applyAlignment="1">
      <alignment vertical="center"/>
    </xf>
    <xf numFmtId="0" fontId="2" fillId="0" borderId="241" xfId="2" quotePrefix="1" applyFont="1" applyBorder="1" applyAlignment="1">
      <alignment horizontal="center"/>
    </xf>
    <xf numFmtId="43" fontId="2" fillId="0" borderId="242" xfId="1" applyFont="1" applyFill="1" applyBorder="1" applyAlignment="1">
      <alignment horizontal="left"/>
    </xf>
    <xf numFmtId="0" fontId="4" fillId="0" borderId="242" xfId="2" applyFont="1" applyBorder="1" applyAlignment="1">
      <alignment horizontal="left"/>
    </xf>
    <xf numFmtId="0" fontId="4" fillId="0" borderId="242" xfId="2" applyFont="1" applyBorder="1" applyAlignment="1">
      <alignment horizontal="center"/>
    </xf>
    <xf numFmtId="164" fontId="3" fillId="0" borderId="242" xfId="2" quotePrefix="1" applyNumberFormat="1" applyFont="1" applyBorder="1" applyAlignment="1">
      <alignment horizontal="center" vertical="center"/>
    </xf>
    <xf numFmtId="164" fontId="2" fillId="0" borderId="242" xfId="2" applyNumberFormat="1" applyFont="1" applyBorder="1" applyAlignment="1">
      <alignment horizontal="center" vertical="center"/>
    </xf>
    <xf numFmtId="0" fontId="2" fillId="0" borderId="243" xfId="2" applyFont="1" applyBorder="1" applyAlignment="1">
      <alignment horizontal="left" vertical="center"/>
    </xf>
    <xf numFmtId="0" fontId="2" fillId="0" borderId="243" xfId="2" applyFont="1" applyBorder="1" applyAlignment="1">
      <alignment horizontal="center" vertical="center"/>
    </xf>
    <xf numFmtId="0" fontId="2" fillId="0" borderId="244" xfId="0" applyFont="1" applyBorder="1" applyAlignment="1">
      <alignment horizontal="center" vertical="center"/>
    </xf>
    <xf numFmtId="43" fontId="2" fillId="0" borderId="244" xfId="1" applyFont="1" applyBorder="1" applyAlignment="1">
      <alignment vertical="center"/>
    </xf>
    <xf numFmtId="164" fontId="8" fillId="0" borderId="242" xfId="2" quotePrefix="1" applyNumberFormat="1" applyFont="1" applyBorder="1" applyAlignment="1">
      <alignment horizontal="center" vertical="center"/>
    </xf>
    <xf numFmtId="164" fontId="2" fillId="0" borderId="242" xfId="2" quotePrefix="1" applyNumberFormat="1" applyFont="1" applyBorder="1" applyAlignment="1">
      <alignment horizontal="center" vertical="center"/>
    </xf>
    <xf numFmtId="0" fontId="2" fillId="0" borderId="242" xfId="2" applyFont="1" applyBorder="1" applyAlignment="1">
      <alignment horizontal="left"/>
    </xf>
    <xf numFmtId="0" fontId="2" fillId="0" borderId="242" xfId="2" applyFont="1" applyBorder="1" applyAlignment="1">
      <alignment horizontal="center"/>
    </xf>
    <xf numFmtId="164" fontId="7" fillId="5" borderId="245" xfId="2" applyNumberFormat="1" applyFont="1" applyFill="1" applyBorder="1" applyAlignment="1">
      <alignment horizontal="right" vertical="center"/>
    </xf>
    <xf numFmtId="164" fontId="4" fillId="5" borderId="242" xfId="1" applyNumberFormat="1" applyFont="1" applyFill="1" applyBorder="1" applyAlignment="1">
      <alignment horizontal="center" vertical="center"/>
    </xf>
    <xf numFmtId="0" fontId="2" fillId="5" borderId="243" xfId="2" applyFont="1" applyFill="1" applyBorder="1" applyAlignment="1">
      <alignment horizontal="left" vertical="center"/>
    </xf>
    <xf numFmtId="0" fontId="4" fillId="5" borderId="243" xfId="2" applyFont="1" applyFill="1" applyBorder="1" applyAlignment="1">
      <alignment horizontal="center"/>
    </xf>
    <xf numFmtId="43" fontId="8" fillId="3" borderId="244" xfId="1" applyFont="1" applyFill="1" applyBorder="1"/>
    <xf numFmtId="0" fontId="8" fillId="3" borderId="246" xfId="2" applyFont="1" applyFill="1" applyBorder="1" applyAlignment="1">
      <alignment horizontal="center" vertical="center"/>
    </xf>
    <xf numFmtId="43" fontId="4" fillId="3" borderId="247" xfId="1" applyFont="1" applyFill="1" applyBorder="1" applyAlignment="1">
      <alignment vertical="center"/>
    </xf>
    <xf numFmtId="0" fontId="4" fillId="3" borderId="247" xfId="2" applyFont="1" applyFill="1" applyBorder="1" applyAlignment="1">
      <alignment vertical="center"/>
    </xf>
    <xf numFmtId="43" fontId="4" fillId="3" borderId="247" xfId="1" applyFont="1" applyFill="1" applyBorder="1" applyAlignment="1">
      <alignment horizontal="left" vertical="center"/>
    </xf>
    <xf numFmtId="0" fontId="4" fillId="3" borderId="247" xfId="2" applyFont="1" applyFill="1" applyBorder="1" applyAlignment="1">
      <alignment horizontal="center" vertical="center"/>
    </xf>
    <xf numFmtId="164" fontId="4" fillId="3" borderId="247" xfId="2" applyNumberFormat="1" applyFont="1" applyFill="1" applyBorder="1" applyAlignment="1">
      <alignment horizontal="center" vertical="center"/>
    </xf>
    <xf numFmtId="0" fontId="4" fillId="3" borderId="247" xfId="0" applyFont="1" applyFill="1" applyBorder="1" applyAlignment="1">
      <alignment horizontal="center" vertical="center"/>
    </xf>
    <xf numFmtId="43" fontId="8" fillId="3" borderId="248" xfId="1" applyFont="1" applyFill="1" applyBorder="1" applyAlignment="1">
      <alignment vertical="center"/>
    </xf>
    <xf numFmtId="0" fontId="2" fillId="0" borderId="249" xfId="2" quotePrefix="1" applyFont="1" applyBorder="1" applyAlignment="1">
      <alignment horizontal="center"/>
    </xf>
    <xf numFmtId="43" fontId="2" fillId="0" borderId="250" xfId="1" applyFont="1" applyFill="1" applyBorder="1" applyAlignment="1">
      <alignment horizontal="left"/>
    </xf>
    <xf numFmtId="0" fontId="4" fillId="0" borderId="250" xfId="2" applyFont="1" applyBorder="1" applyAlignment="1">
      <alignment horizontal="left"/>
    </xf>
    <xf numFmtId="0" fontId="4" fillId="0" borderId="250" xfId="2" applyFont="1" applyBorder="1" applyAlignment="1">
      <alignment horizontal="center"/>
    </xf>
    <xf numFmtId="164" fontId="3" fillId="0" borderId="250" xfId="2" quotePrefix="1" applyNumberFormat="1" applyFont="1" applyBorder="1" applyAlignment="1">
      <alignment horizontal="center" vertical="center"/>
    </xf>
    <xf numFmtId="164" fontId="2" fillId="0" borderId="250" xfId="2" applyNumberFormat="1" applyFont="1" applyBorder="1" applyAlignment="1">
      <alignment horizontal="center" vertical="center"/>
    </xf>
    <xf numFmtId="0" fontId="2" fillId="0" borderId="251" xfId="2" applyFont="1" applyBorder="1" applyAlignment="1">
      <alignment horizontal="left" vertical="center"/>
    </xf>
    <xf numFmtId="0" fontId="2" fillId="0" borderId="251" xfId="2" applyFont="1" applyBorder="1" applyAlignment="1">
      <alignment horizontal="center" vertical="center"/>
    </xf>
    <xf numFmtId="0" fontId="2" fillId="0" borderId="252" xfId="0" applyFont="1" applyBorder="1" applyAlignment="1">
      <alignment horizontal="center" vertical="center"/>
    </xf>
    <xf numFmtId="43" fontId="2" fillId="0" borderId="252" xfId="1" applyFont="1" applyBorder="1" applyAlignment="1">
      <alignment vertical="center"/>
    </xf>
    <xf numFmtId="164" fontId="8" fillId="0" borderId="250" xfId="2" quotePrefix="1" applyNumberFormat="1" applyFont="1" applyBorder="1" applyAlignment="1">
      <alignment horizontal="center" vertical="center"/>
    </xf>
    <xf numFmtId="164" fontId="2" fillId="0" borderId="250" xfId="2" quotePrefix="1" applyNumberFormat="1" applyFont="1" applyBorder="1" applyAlignment="1">
      <alignment horizontal="center" vertical="center"/>
    </xf>
    <xf numFmtId="0" fontId="2" fillId="0" borderId="250" xfId="2" applyFont="1" applyBorder="1" applyAlignment="1">
      <alignment horizontal="left"/>
    </xf>
    <xf numFmtId="0" fontId="2" fillId="0" borderId="250" xfId="2" applyFont="1" applyBorder="1" applyAlignment="1">
      <alignment horizontal="center"/>
    </xf>
    <xf numFmtId="164" fontId="2" fillId="0" borderId="250" xfId="2" applyNumberFormat="1" applyFont="1" applyBorder="1" applyAlignment="1">
      <alignment horizontal="center"/>
    </xf>
    <xf numFmtId="0" fontId="2" fillId="0" borderId="251" xfId="2" applyFont="1" applyBorder="1" applyAlignment="1">
      <alignment horizontal="left"/>
    </xf>
    <xf numFmtId="0" fontId="2" fillId="0" borderId="251" xfId="2" applyFont="1" applyBorder="1" applyAlignment="1">
      <alignment horizontal="center"/>
    </xf>
    <xf numFmtId="0" fontId="2" fillId="0" borderId="252" xfId="0" applyFont="1" applyBorder="1" applyAlignment="1">
      <alignment horizontal="center"/>
    </xf>
    <xf numFmtId="0" fontId="2" fillId="5" borderId="253" xfId="2" applyFont="1" applyFill="1" applyBorder="1" applyAlignment="1">
      <alignment horizontal="center"/>
    </xf>
    <xf numFmtId="43" fontId="4" fillId="5" borderId="254" xfId="1" applyFont="1" applyFill="1" applyBorder="1" applyAlignment="1"/>
    <xf numFmtId="0" fontId="4" fillId="5" borderId="254" xfId="2" applyFont="1" applyFill="1" applyBorder="1"/>
    <xf numFmtId="43" fontId="4" fillId="5" borderId="254" xfId="1" applyFont="1" applyFill="1" applyBorder="1" applyAlignment="1">
      <alignment horizontal="left"/>
    </xf>
    <xf numFmtId="0" fontId="4" fillId="5" borderId="254" xfId="2" applyFont="1" applyFill="1" applyBorder="1" applyAlignment="1">
      <alignment horizontal="center"/>
    </xf>
    <xf numFmtId="164" fontId="7" fillId="5" borderId="254" xfId="2" applyNumberFormat="1" applyFont="1" applyFill="1" applyBorder="1" applyAlignment="1">
      <alignment horizontal="right" vertical="center"/>
    </xf>
    <xf numFmtId="164" fontId="4" fillId="5" borderId="250" xfId="1" applyNumberFormat="1" applyFont="1" applyFill="1" applyBorder="1" applyAlignment="1">
      <alignment horizontal="center" vertical="center"/>
    </xf>
    <xf numFmtId="0" fontId="2" fillId="5" borderId="251" xfId="2" applyFont="1" applyFill="1" applyBorder="1" applyAlignment="1">
      <alignment horizontal="left" vertical="center"/>
    </xf>
    <xf numFmtId="0" fontId="4" fillId="5" borderId="251" xfId="2" applyFont="1" applyFill="1" applyBorder="1" applyAlignment="1">
      <alignment horizontal="center"/>
    </xf>
    <xf numFmtId="43" fontId="8" fillId="3" borderId="252" xfId="1" applyFont="1" applyFill="1" applyBorder="1"/>
    <xf numFmtId="164" fontId="8" fillId="0" borderId="250" xfId="2" applyNumberFormat="1" applyFont="1" applyBorder="1" applyAlignment="1">
      <alignment horizontal="center" vertical="center"/>
    </xf>
    <xf numFmtId="0" fontId="8" fillId="3" borderId="255" xfId="2" applyFont="1" applyFill="1" applyBorder="1" applyAlignment="1">
      <alignment horizontal="center" vertical="center"/>
    </xf>
    <xf numFmtId="43" fontId="4" fillId="3" borderId="256" xfId="1" applyFont="1" applyFill="1" applyBorder="1" applyAlignment="1">
      <alignment vertical="center"/>
    </xf>
    <xf numFmtId="0" fontId="4" fillId="3" borderId="256" xfId="2" applyFont="1" applyFill="1" applyBorder="1" applyAlignment="1">
      <alignment vertical="center"/>
    </xf>
    <xf numFmtId="43" fontId="4" fillId="3" borderId="256" xfId="1" applyFont="1" applyFill="1" applyBorder="1" applyAlignment="1">
      <alignment horizontal="left" vertical="center"/>
    </xf>
    <xf numFmtId="0" fontId="4" fillId="3" borderId="256" xfId="2" applyFont="1" applyFill="1" applyBorder="1" applyAlignment="1">
      <alignment horizontal="center" vertical="center"/>
    </xf>
    <xf numFmtId="164" fontId="4" fillId="3" borderId="256" xfId="2" applyNumberFormat="1" applyFont="1" applyFill="1" applyBorder="1" applyAlignment="1">
      <alignment horizontal="center" vertical="center"/>
    </xf>
    <xf numFmtId="0" fontId="4" fillId="3" borderId="256" xfId="0" applyFont="1" applyFill="1" applyBorder="1" applyAlignment="1">
      <alignment horizontal="center" vertical="center"/>
    </xf>
    <xf numFmtId="43" fontId="8" fillId="3" borderId="257" xfId="1" applyFont="1" applyFill="1" applyBorder="1" applyAlignment="1">
      <alignment vertical="center"/>
    </xf>
    <xf numFmtId="0" fontId="2" fillId="0" borderId="258" xfId="2" quotePrefix="1" applyFont="1" applyBorder="1" applyAlignment="1">
      <alignment horizontal="center"/>
    </xf>
    <xf numFmtId="43" fontId="2" fillId="0" borderId="259" xfId="1" applyFont="1" applyFill="1" applyBorder="1" applyAlignment="1">
      <alignment horizontal="left"/>
    </xf>
    <xf numFmtId="0" fontId="4" fillId="0" borderId="259" xfId="2" applyFont="1" applyBorder="1" applyAlignment="1">
      <alignment horizontal="left"/>
    </xf>
    <xf numFmtId="0" fontId="4" fillId="0" borderId="259" xfId="2" applyFont="1" applyBorder="1" applyAlignment="1">
      <alignment horizontal="center"/>
    </xf>
    <xf numFmtId="164" fontId="3" fillId="0" borderId="259" xfId="2" quotePrefix="1" applyNumberFormat="1" applyFont="1" applyBorder="1" applyAlignment="1">
      <alignment horizontal="center" vertical="center"/>
    </xf>
    <xf numFmtId="164" fontId="2" fillId="0" borderId="259" xfId="2" applyNumberFormat="1" applyFont="1" applyBorder="1" applyAlignment="1">
      <alignment horizontal="center" vertical="center"/>
    </xf>
    <xf numFmtId="0" fontId="2" fillId="0" borderId="260" xfId="2" applyFont="1" applyBorder="1" applyAlignment="1">
      <alignment horizontal="left" vertical="center"/>
    </xf>
    <xf numFmtId="0" fontId="2" fillId="0" borderId="260" xfId="2" applyFont="1" applyBorder="1" applyAlignment="1">
      <alignment horizontal="center" vertical="center"/>
    </xf>
    <xf numFmtId="0" fontId="2" fillId="0" borderId="261" xfId="0" applyFont="1" applyBorder="1" applyAlignment="1">
      <alignment horizontal="center" vertical="center"/>
    </xf>
    <xf numFmtId="43" fontId="2" fillId="0" borderId="261" xfId="1" applyFont="1" applyBorder="1" applyAlignment="1">
      <alignment vertical="center"/>
    </xf>
    <xf numFmtId="164" fontId="8" fillId="0" borderId="259" xfId="2" quotePrefix="1" applyNumberFormat="1" applyFont="1" applyBorder="1" applyAlignment="1">
      <alignment horizontal="center" vertical="center"/>
    </xf>
    <xf numFmtId="164" fontId="2" fillId="0" borderId="259" xfId="2" quotePrefix="1" applyNumberFormat="1" applyFont="1" applyBorder="1" applyAlignment="1">
      <alignment horizontal="center" vertical="center"/>
    </xf>
    <xf numFmtId="0" fontId="2" fillId="0" borderId="259" xfId="2" applyFont="1" applyBorder="1" applyAlignment="1">
      <alignment horizontal="left"/>
    </xf>
    <xf numFmtId="0" fontId="2" fillId="0" borderId="259" xfId="2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2" fillId="5" borderId="262" xfId="2" applyFont="1" applyFill="1" applyBorder="1" applyAlignment="1">
      <alignment horizontal="center"/>
    </xf>
    <xf numFmtId="43" fontId="4" fillId="5" borderId="263" xfId="1" applyFont="1" applyFill="1" applyBorder="1" applyAlignment="1"/>
    <xf numFmtId="0" fontId="4" fillId="5" borderId="263" xfId="2" applyFont="1" applyFill="1" applyBorder="1"/>
    <xf numFmtId="43" fontId="4" fillId="5" borderId="263" xfId="1" applyFont="1" applyFill="1" applyBorder="1" applyAlignment="1">
      <alignment horizontal="left"/>
    </xf>
    <xf numFmtId="0" fontId="4" fillId="5" borderId="263" xfId="2" applyFont="1" applyFill="1" applyBorder="1" applyAlignment="1">
      <alignment horizontal="center"/>
    </xf>
    <xf numFmtId="164" fontId="7" fillId="5" borderId="263" xfId="2" applyNumberFormat="1" applyFont="1" applyFill="1" applyBorder="1" applyAlignment="1">
      <alignment horizontal="right" vertical="center"/>
    </xf>
    <xf numFmtId="164" fontId="4" fillId="5" borderId="259" xfId="1" applyNumberFormat="1" applyFont="1" applyFill="1" applyBorder="1" applyAlignment="1">
      <alignment horizontal="center" vertical="center"/>
    </xf>
    <xf numFmtId="0" fontId="2" fillId="5" borderId="260" xfId="2" applyFont="1" applyFill="1" applyBorder="1" applyAlignment="1">
      <alignment horizontal="left" vertical="center"/>
    </xf>
    <xf numFmtId="0" fontId="4" fillId="5" borderId="260" xfId="2" applyFont="1" applyFill="1" applyBorder="1" applyAlignment="1">
      <alignment horizontal="center"/>
    </xf>
    <xf numFmtId="43" fontId="8" fillId="3" borderId="261" xfId="1" applyFont="1" applyFill="1" applyBorder="1"/>
    <xf numFmtId="0" fontId="8" fillId="3" borderId="264" xfId="2" applyFont="1" applyFill="1" applyBorder="1" applyAlignment="1">
      <alignment horizontal="center" vertical="center"/>
    </xf>
    <xf numFmtId="43" fontId="4" fillId="3" borderId="265" xfId="1" applyFont="1" applyFill="1" applyBorder="1" applyAlignment="1">
      <alignment vertical="center"/>
    </xf>
    <xf numFmtId="0" fontId="4" fillId="3" borderId="265" xfId="2" applyFont="1" applyFill="1" applyBorder="1" applyAlignment="1">
      <alignment vertical="center"/>
    </xf>
    <xf numFmtId="43" fontId="4" fillId="3" borderId="265" xfId="1" applyFont="1" applyFill="1" applyBorder="1" applyAlignment="1">
      <alignment horizontal="left" vertical="center"/>
    </xf>
    <xf numFmtId="0" fontId="4" fillId="3" borderId="265" xfId="2" applyFont="1" applyFill="1" applyBorder="1" applyAlignment="1">
      <alignment horizontal="center" vertical="center"/>
    </xf>
    <xf numFmtId="164" fontId="4" fillId="3" borderId="265" xfId="2" applyNumberFormat="1" applyFont="1" applyFill="1" applyBorder="1" applyAlignment="1">
      <alignment horizontal="center" vertical="center"/>
    </xf>
    <xf numFmtId="0" fontId="4" fillId="3" borderId="265" xfId="0" applyFont="1" applyFill="1" applyBorder="1" applyAlignment="1">
      <alignment horizontal="center" vertical="center"/>
    </xf>
    <xf numFmtId="43" fontId="8" fillId="3" borderId="266" xfId="1" applyFont="1" applyFill="1" applyBorder="1" applyAlignment="1">
      <alignment vertical="center"/>
    </xf>
    <xf numFmtId="0" fontId="2" fillId="0" borderId="267" xfId="2" quotePrefix="1" applyFont="1" applyBorder="1" applyAlignment="1">
      <alignment horizontal="center"/>
    </xf>
    <xf numFmtId="43" fontId="2" fillId="0" borderId="268" xfId="1" applyFont="1" applyFill="1" applyBorder="1" applyAlignment="1">
      <alignment horizontal="left"/>
    </xf>
    <xf numFmtId="0" fontId="4" fillId="0" borderId="268" xfId="2" applyFont="1" applyBorder="1" applyAlignment="1">
      <alignment horizontal="left"/>
    </xf>
    <xf numFmtId="0" fontId="4" fillId="0" borderId="268" xfId="2" applyFont="1" applyBorder="1" applyAlignment="1">
      <alignment horizontal="center"/>
    </xf>
    <xf numFmtId="164" fontId="3" fillId="0" borderId="268" xfId="2" quotePrefix="1" applyNumberFormat="1" applyFont="1" applyBorder="1" applyAlignment="1">
      <alignment horizontal="center" vertical="center"/>
    </xf>
    <xf numFmtId="164" fontId="2" fillId="0" borderId="268" xfId="2" applyNumberFormat="1" applyFont="1" applyBorder="1" applyAlignment="1">
      <alignment horizontal="center" vertical="center"/>
    </xf>
    <xf numFmtId="0" fontId="2" fillId="0" borderId="269" xfId="2" applyFont="1" applyBorder="1" applyAlignment="1">
      <alignment horizontal="left" vertical="center"/>
    </xf>
    <xf numFmtId="0" fontId="2" fillId="0" borderId="269" xfId="2" applyFont="1" applyBorder="1" applyAlignment="1">
      <alignment horizontal="center" vertical="center"/>
    </xf>
    <xf numFmtId="0" fontId="2" fillId="0" borderId="270" xfId="0" applyFont="1" applyBorder="1" applyAlignment="1">
      <alignment horizontal="center" vertical="center"/>
    </xf>
    <xf numFmtId="43" fontId="2" fillId="0" borderId="270" xfId="1" applyFont="1" applyBorder="1" applyAlignment="1">
      <alignment vertical="center"/>
    </xf>
    <xf numFmtId="164" fontId="2" fillId="0" borderId="268" xfId="2" quotePrefix="1" applyNumberFormat="1" applyFont="1" applyBorder="1" applyAlignment="1">
      <alignment horizontal="center" vertical="center"/>
    </xf>
    <xf numFmtId="0" fontId="2" fillId="0" borderId="268" xfId="2" applyFont="1" applyBorder="1" applyAlignment="1">
      <alignment horizontal="left"/>
    </xf>
    <xf numFmtId="0" fontId="2" fillId="0" borderId="268" xfId="2" applyFont="1" applyBorder="1" applyAlignment="1">
      <alignment horizontal="center"/>
    </xf>
    <xf numFmtId="164" fontId="8" fillId="0" borderId="268" xfId="2" quotePrefix="1" applyNumberFormat="1" applyFont="1" applyBorder="1" applyAlignment="1">
      <alignment horizontal="center" vertical="center"/>
    </xf>
    <xf numFmtId="164" fontId="2" fillId="0" borderId="268" xfId="2" applyNumberFormat="1" applyFont="1" applyBorder="1" applyAlignment="1">
      <alignment horizontal="center"/>
    </xf>
    <xf numFmtId="0" fontId="2" fillId="0" borderId="269" xfId="2" applyFont="1" applyBorder="1" applyAlignment="1">
      <alignment horizontal="left"/>
    </xf>
    <xf numFmtId="0" fontId="2" fillId="0" borderId="269" xfId="2" applyFont="1" applyBorder="1" applyAlignment="1">
      <alignment horizontal="center"/>
    </xf>
    <xf numFmtId="0" fontId="2" fillId="0" borderId="270" xfId="0" applyFont="1" applyBorder="1" applyAlignment="1">
      <alignment horizontal="center"/>
    </xf>
    <xf numFmtId="43" fontId="2" fillId="0" borderId="270" xfId="1" applyFont="1" applyBorder="1"/>
    <xf numFmtId="0" fontId="2" fillId="5" borderId="271" xfId="2" applyFont="1" applyFill="1" applyBorder="1" applyAlignment="1">
      <alignment horizontal="center"/>
    </xf>
    <xf numFmtId="43" fontId="4" fillId="5" borderId="272" xfId="1" applyFont="1" applyFill="1" applyBorder="1" applyAlignment="1"/>
    <xf numFmtId="0" fontId="4" fillId="5" borderId="272" xfId="2" applyFont="1" applyFill="1" applyBorder="1"/>
    <xf numFmtId="43" fontId="4" fillId="5" borderId="272" xfId="1" applyFont="1" applyFill="1" applyBorder="1" applyAlignment="1">
      <alignment horizontal="left"/>
    </xf>
    <xf numFmtId="0" fontId="4" fillId="5" borderId="272" xfId="2" applyFont="1" applyFill="1" applyBorder="1" applyAlignment="1">
      <alignment horizontal="center"/>
    </xf>
    <xf numFmtId="164" fontId="7" fillId="5" borderId="272" xfId="2" applyNumberFormat="1" applyFont="1" applyFill="1" applyBorder="1" applyAlignment="1">
      <alignment horizontal="right" vertical="center"/>
    </xf>
    <xf numFmtId="164" fontId="4" fillId="5" borderId="268" xfId="1" applyNumberFormat="1" applyFont="1" applyFill="1" applyBorder="1" applyAlignment="1">
      <alignment horizontal="center" vertical="center"/>
    </xf>
    <xf numFmtId="0" fontId="2" fillId="5" borderId="269" xfId="2" applyFont="1" applyFill="1" applyBorder="1" applyAlignment="1">
      <alignment horizontal="left" vertical="center"/>
    </xf>
    <xf numFmtId="0" fontId="4" fillId="5" borderId="269" xfId="2" applyFont="1" applyFill="1" applyBorder="1" applyAlignment="1">
      <alignment horizontal="center"/>
    </xf>
    <xf numFmtId="43" fontId="8" fillId="3" borderId="270" xfId="1" applyFont="1" applyFill="1" applyBorder="1"/>
    <xf numFmtId="0" fontId="8" fillId="3" borderId="273" xfId="2" applyFont="1" applyFill="1" applyBorder="1" applyAlignment="1">
      <alignment horizontal="center" vertical="center"/>
    </xf>
    <xf numFmtId="43" fontId="4" fillId="3" borderId="274" xfId="1" applyFont="1" applyFill="1" applyBorder="1" applyAlignment="1">
      <alignment vertical="center"/>
    </xf>
    <xf numFmtId="0" fontId="4" fillId="3" borderId="274" xfId="2" applyFont="1" applyFill="1" applyBorder="1" applyAlignment="1">
      <alignment vertical="center"/>
    </xf>
    <xf numFmtId="43" fontId="4" fillId="3" borderId="274" xfId="1" applyFont="1" applyFill="1" applyBorder="1" applyAlignment="1">
      <alignment horizontal="left" vertical="center"/>
    </xf>
    <xf numFmtId="0" fontId="4" fillId="3" borderId="274" xfId="2" applyFont="1" applyFill="1" applyBorder="1" applyAlignment="1">
      <alignment horizontal="center" vertical="center"/>
    </xf>
    <xf numFmtId="164" fontId="4" fillId="3" borderId="274" xfId="2" applyNumberFormat="1" applyFont="1" applyFill="1" applyBorder="1" applyAlignment="1">
      <alignment horizontal="center" vertical="center"/>
    </xf>
    <xf numFmtId="0" fontId="4" fillId="3" borderId="274" xfId="0" applyFont="1" applyFill="1" applyBorder="1" applyAlignment="1">
      <alignment horizontal="center" vertical="center"/>
    </xf>
    <xf numFmtId="43" fontId="8" fillId="3" borderId="275" xfId="1" applyFont="1" applyFill="1" applyBorder="1" applyAlignment="1">
      <alignment vertical="center"/>
    </xf>
    <xf numFmtId="0" fontId="2" fillId="0" borderId="276" xfId="2" quotePrefix="1" applyFont="1" applyBorder="1" applyAlignment="1">
      <alignment horizontal="center"/>
    </xf>
    <xf numFmtId="43" fontId="2" fillId="0" borderId="277" xfId="1" applyFont="1" applyFill="1" applyBorder="1" applyAlignment="1">
      <alignment horizontal="left"/>
    </xf>
    <xf numFmtId="0" fontId="4" fillId="0" borderId="277" xfId="2" applyFont="1" applyBorder="1" applyAlignment="1">
      <alignment horizontal="left"/>
    </xf>
    <xf numFmtId="0" fontId="4" fillId="0" borderId="277" xfId="2" applyFont="1" applyBorder="1" applyAlignment="1">
      <alignment horizontal="center"/>
    </xf>
    <xf numFmtId="164" fontId="3" fillId="0" borderId="277" xfId="2" quotePrefix="1" applyNumberFormat="1" applyFont="1" applyBorder="1" applyAlignment="1">
      <alignment horizontal="center" vertical="center"/>
    </xf>
    <xf numFmtId="164" fontId="2" fillId="0" borderId="277" xfId="2" applyNumberFormat="1" applyFont="1" applyBorder="1" applyAlignment="1">
      <alignment horizontal="center" vertical="center"/>
    </xf>
    <xf numFmtId="0" fontId="2" fillId="0" borderId="278" xfId="2" applyFont="1" applyBorder="1" applyAlignment="1">
      <alignment horizontal="left" vertical="center"/>
    </xf>
    <xf numFmtId="0" fontId="2" fillId="0" borderId="278" xfId="2" applyFont="1" applyBorder="1" applyAlignment="1">
      <alignment horizontal="center" vertical="center"/>
    </xf>
    <xf numFmtId="0" fontId="2" fillId="0" borderId="279" xfId="0" applyFont="1" applyBorder="1" applyAlignment="1">
      <alignment horizontal="center" vertical="center"/>
    </xf>
    <xf numFmtId="43" fontId="2" fillId="0" borderId="279" xfId="1" applyFont="1" applyBorder="1" applyAlignment="1">
      <alignment vertical="center"/>
    </xf>
    <xf numFmtId="164" fontId="2" fillId="0" borderId="277" xfId="2" quotePrefix="1" applyNumberFormat="1" applyFont="1" applyBorder="1" applyAlignment="1">
      <alignment horizontal="center" vertical="center"/>
    </xf>
    <xf numFmtId="0" fontId="2" fillId="0" borderId="277" xfId="2" applyFont="1" applyBorder="1" applyAlignment="1">
      <alignment horizontal="left"/>
    </xf>
    <xf numFmtId="0" fontId="2" fillId="0" borderId="277" xfId="2" applyFont="1" applyBorder="1" applyAlignment="1">
      <alignment horizontal="center"/>
    </xf>
    <xf numFmtId="164" fontId="8" fillId="0" borderId="277" xfId="2" quotePrefix="1" applyNumberFormat="1" applyFont="1" applyBorder="1" applyAlignment="1">
      <alignment horizontal="center" vertical="center"/>
    </xf>
    <xf numFmtId="164" fontId="2" fillId="0" borderId="277" xfId="2" applyNumberFormat="1" applyFont="1" applyBorder="1" applyAlignment="1">
      <alignment horizontal="center"/>
    </xf>
    <xf numFmtId="0" fontId="2" fillId="0" borderId="278" xfId="2" applyFont="1" applyBorder="1" applyAlignment="1">
      <alignment horizontal="left"/>
    </xf>
    <xf numFmtId="0" fontId="2" fillId="0" borderId="278" xfId="2" applyFont="1" applyBorder="1" applyAlignment="1">
      <alignment horizontal="center"/>
    </xf>
    <xf numFmtId="0" fontId="2" fillId="0" borderId="279" xfId="0" applyFont="1" applyBorder="1" applyAlignment="1">
      <alignment horizontal="center"/>
    </xf>
    <xf numFmtId="43" fontId="2" fillId="0" borderId="279" xfId="1" applyFont="1" applyBorder="1"/>
    <xf numFmtId="0" fontId="2" fillId="5" borderId="280" xfId="2" applyFont="1" applyFill="1" applyBorder="1" applyAlignment="1">
      <alignment horizontal="center"/>
    </xf>
    <xf numFmtId="43" fontId="4" fillId="5" borderId="281" xfId="1" applyFont="1" applyFill="1" applyBorder="1" applyAlignment="1"/>
    <xf numFmtId="0" fontId="4" fillId="5" borderId="281" xfId="2" applyFont="1" applyFill="1" applyBorder="1"/>
    <xf numFmtId="43" fontId="4" fillId="5" borderId="281" xfId="1" applyFont="1" applyFill="1" applyBorder="1" applyAlignment="1">
      <alignment horizontal="left"/>
    </xf>
    <xf numFmtId="0" fontId="4" fillId="5" borderId="281" xfId="2" applyFont="1" applyFill="1" applyBorder="1" applyAlignment="1">
      <alignment horizontal="center"/>
    </xf>
    <xf numFmtId="164" fontId="7" fillId="5" borderId="281" xfId="2" applyNumberFormat="1" applyFont="1" applyFill="1" applyBorder="1" applyAlignment="1">
      <alignment horizontal="right" vertical="center"/>
    </xf>
    <xf numFmtId="164" fontId="4" fillId="5" borderId="277" xfId="1" applyNumberFormat="1" applyFont="1" applyFill="1" applyBorder="1" applyAlignment="1">
      <alignment horizontal="center" vertical="center"/>
    </xf>
    <xf numFmtId="0" fontId="2" fillId="5" borderId="278" xfId="2" applyFont="1" applyFill="1" applyBorder="1" applyAlignment="1">
      <alignment horizontal="left" vertical="center"/>
    </xf>
    <xf numFmtId="0" fontId="4" fillId="5" borderId="278" xfId="2" applyFont="1" applyFill="1" applyBorder="1" applyAlignment="1">
      <alignment horizontal="center"/>
    </xf>
    <xf numFmtId="43" fontId="8" fillId="3" borderId="279" xfId="1" applyFont="1" applyFill="1" applyBorder="1"/>
    <xf numFmtId="0" fontId="8" fillId="3" borderId="282" xfId="2" applyFont="1" applyFill="1" applyBorder="1" applyAlignment="1">
      <alignment horizontal="center" vertical="center"/>
    </xf>
    <xf numFmtId="43" fontId="4" fillId="3" borderId="283" xfId="1" applyFont="1" applyFill="1" applyBorder="1" applyAlignment="1">
      <alignment vertical="center"/>
    </xf>
    <xf numFmtId="0" fontId="4" fillId="3" borderId="283" xfId="2" applyFont="1" applyFill="1" applyBorder="1" applyAlignment="1">
      <alignment vertical="center"/>
    </xf>
    <xf numFmtId="43" fontId="4" fillId="3" borderId="283" xfId="1" applyFont="1" applyFill="1" applyBorder="1" applyAlignment="1">
      <alignment horizontal="left" vertical="center"/>
    </xf>
    <xf numFmtId="0" fontId="4" fillId="3" borderId="283" xfId="2" applyFont="1" applyFill="1" applyBorder="1" applyAlignment="1">
      <alignment horizontal="center" vertical="center"/>
    </xf>
    <xf numFmtId="164" fontId="4" fillId="3" borderId="283" xfId="2" applyNumberFormat="1" applyFont="1" applyFill="1" applyBorder="1" applyAlignment="1">
      <alignment horizontal="center" vertical="center"/>
    </xf>
    <xf numFmtId="0" fontId="4" fillId="3" borderId="283" xfId="0" applyFont="1" applyFill="1" applyBorder="1" applyAlignment="1">
      <alignment horizontal="center" vertical="center"/>
    </xf>
    <xf numFmtId="43" fontId="8" fillId="3" borderId="284" xfId="1" applyFont="1" applyFill="1" applyBorder="1" applyAlignment="1">
      <alignment vertical="center"/>
    </xf>
    <xf numFmtId="0" fontId="2" fillId="0" borderId="285" xfId="2" quotePrefix="1" applyFont="1" applyBorder="1" applyAlignment="1">
      <alignment horizontal="center"/>
    </xf>
    <xf numFmtId="43" fontId="2" fillId="0" borderId="286" xfId="1" applyFont="1" applyFill="1" applyBorder="1" applyAlignment="1">
      <alignment horizontal="left"/>
    </xf>
    <xf numFmtId="0" fontId="4" fillId="0" borderId="286" xfId="2" applyFont="1" applyBorder="1" applyAlignment="1">
      <alignment horizontal="left"/>
    </xf>
    <xf numFmtId="0" fontId="4" fillId="0" borderId="286" xfId="2" applyFont="1" applyBorder="1" applyAlignment="1">
      <alignment horizontal="center"/>
    </xf>
    <xf numFmtId="164" fontId="3" fillId="0" borderId="286" xfId="2" quotePrefix="1" applyNumberFormat="1" applyFont="1" applyBorder="1" applyAlignment="1">
      <alignment horizontal="center" vertical="center"/>
    </xf>
    <xf numFmtId="164" fontId="2" fillId="0" borderId="286" xfId="2" applyNumberFormat="1" applyFont="1" applyBorder="1" applyAlignment="1">
      <alignment horizontal="center" vertical="center"/>
    </xf>
    <xf numFmtId="0" fontId="2" fillId="0" borderId="287" xfId="2" applyFont="1" applyBorder="1" applyAlignment="1">
      <alignment horizontal="left" vertical="center"/>
    </xf>
    <xf numFmtId="0" fontId="2" fillId="0" borderId="287" xfId="2" applyFont="1" applyBorder="1" applyAlignment="1">
      <alignment horizontal="center" vertical="center"/>
    </xf>
    <xf numFmtId="0" fontId="2" fillId="0" borderId="288" xfId="0" applyFont="1" applyBorder="1" applyAlignment="1">
      <alignment horizontal="center" vertical="center"/>
    </xf>
    <xf numFmtId="43" fontId="2" fillId="0" borderId="288" xfId="1" applyFont="1" applyBorder="1" applyAlignment="1">
      <alignment vertical="center"/>
    </xf>
    <xf numFmtId="164" fontId="2" fillId="0" borderId="286" xfId="2" quotePrefix="1" applyNumberFormat="1" applyFont="1" applyBorder="1" applyAlignment="1">
      <alignment horizontal="center" vertical="center"/>
    </xf>
    <xf numFmtId="0" fontId="2" fillId="0" borderId="286" xfId="2" applyFont="1" applyBorder="1" applyAlignment="1">
      <alignment horizontal="left"/>
    </xf>
    <xf numFmtId="0" fontId="2" fillId="0" borderId="286" xfId="2" applyFont="1" applyBorder="1" applyAlignment="1">
      <alignment horizontal="center"/>
    </xf>
    <xf numFmtId="164" fontId="8" fillId="0" borderId="286" xfId="2" quotePrefix="1" applyNumberFormat="1" applyFont="1" applyBorder="1" applyAlignment="1">
      <alignment horizontal="center" vertical="center"/>
    </xf>
    <xf numFmtId="164" fontId="2" fillId="0" borderId="286" xfId="2" applyNumberFormat="1" applyFont="1" applyBorder="1" applyAlignment="1">
      <alignment horizontal="center"/>
    </xf>
    <xf numFmtId="0" fontId="2" fillId="0" borderId="287" xfId="2" applyFont="1" applyBorder="1" applyAlignment="1">
      <alignment horizontal="left"/>
    </xf>
    <xf numFmtId="0" fontId="2" fillId="0" borderId="287" xfId="2" applyFont="1" applyBorder="1" applyAlignment="1">
      <alignment horizontal="center"/>
    </xf>
    <xf numFmtId="0" fontId="2" fillId="0" borderId="288" xfId="0" applyFont="1" applyBorder="1" applyAlignment="1">
      <alignment horizontal="center"/>
    </xf>
    <xf numFmtId="43" fontId="2" fillId="0" borderId="288" xfId="1" applyFont="1" applyBorder="1"/>
    <xf numFmtId="0" fontId="2" fillId="5" borderId="289" xfId="2" applyFont="1" applyFill="1" applyBorder="1" applyAlignment="1">
      <alignment horizontal="center"/>
    </xf>
    <xf numFmtId="43" fontId="4" fillId="5" borderId="290" xfId="1" applyFont="1" applyFill="1" applyBorder="1" applyAlignment="1"/>
    <xf numFmtId="0" fontId="4" fillId="5" borderId="290" xfId="2" applyFont="1" applyFill="1" applyBorder="1"/>
    <xf numFmtId="43" fontId="4" fillId="5" borderId="290" xfId="1" applyFont="1" applyFill="1" applyBorder="1" applyAlignment="1">
      <alignment horizontal="left"/>
    </xf>
    <xf numFmtId="0" fontId="4" fillId="5" borderId="290" xfId="2" applyFont="1" applyFill="1" applyBorder="1" applyAlignment="1">
      <alignment horizontal="center"/>
    </xf>
    <xf numFmtId="164" fontId="7" fillId="5" borderId="290" xfId="2" applyNumberFormat="1" applyFont="1" applyFill="1" applyBorder="1" applyAlignment="1">
      <alignment horizontal="right" vertical="center"/>
    </xf>
    <xf numFmtId="164" fontId="4" fillId="5" borderId="286" xfId="1" applyNumberFormat="1" applyFont="1" applyFill="1" applyBorder="1" applyAlignment="1">
      <alignment horizontal="center" vertical="center"/>
    </xf>
    <xf numFmtId="0" fontId="2" fillId="5" borderId="287" xfId="2" applyFont="1" applyFill="1" applyBorder="1" applyAlignment="1">
      <alignment horizontal="left" vertical="center"/>
    </xf>
    <xf numFmtId="0" fontId="4" fillId="5" borderId="287" xfId="2" applyFont="1" applyFill="1" applyBorder="1" applyAlignment="1">
      <alignment horizontal="center"/>
    </xf>
    <xf numFmtId="43" fontId="8" fillId="3" borderId="288" xfId="1" applyFont="1" applyFill="1" applyBorder="1"/>
    <xf numFmtId="0" fontId="8" fillId="3" borderId="291" xfId="2" applyFont="1" applyFill="1" applyBorder="1" applyAlignment="1">
      <alignment horizontal="center" vertical="center"/>
    </xf>
    <xf numFmtId="43" fontId="4" fillId="3" borderId="292" xfId="1" applyFont="1" applyFill="1" applyBorder="1" applyAlignment="1">
      <alignment vertical="center"/>
    </xf>
    <xf numFmtId="0" fontId="4" fillId="3" borderId="292" xfId="2" applyFont="1" applyFill="1" applyBorder="1" applyAlignment="1">
      <alignment vertical="center"/>
    </xf>
    <xf numFmtId="43" fontId="4" fillId="3" borderId="292" xfId="1" applyFont="1" applyFill="1" applyBorder="1" applyAlignment="1">
      <alignment horizontal="left" vertical="center"/>
    </xf>
    <xf numFmtId="0" fontId="4" fillId="3" borderId="292" xfId="2" applyFont="1" applyFill="1" applyBorder="1" applyAlignment="1">
      <alignment horizontal="center" vertical="center"/>
    </xf>
    <xf numFmtId="164" fontId="4" fillId="3" borderId="292" xfId="2" applyNumberFormat="1" applyFont="1" applyFill="1" applyBorder="1" applyAlignment="1">
      <alignment horizontal="center" vertical="center"/>
    </xf>
    <xf numFmtId="0" fontId="4" fillId="3" borderId="292" xfId="0" applyFont="1" applyFill="1" applyBorder="1" applyAlignment="1">
      <alignment horizontal="center" vertical="center"/>
    </xf>
    <xf numFmtId="43" fontId="8" fillId="3" borderId="293" xfId="1" applyFont="1" applyFill="1" applyBorder="1" applyAlignment="1">
      <alignment vertical="center"/>
    </xf>
    <xf numFmtId="0" fontId="2" fillId="0" borderId="294" xfId="2" quotePrefix="1" applyFont="1" applyBorder="1" applyAlignment="1">
      <alignment horizontal="center"/>
    </xf>
    <xf numFmtId="43" fontId="4" fillId="0" borderId="295" xfId="1" applyFont="1" applyFill="1" applyBorder="1" applyAlignment="1">
      <alignment horizontal="left"/>
    </xf>
    <xf numFmtId="0" fontId="4" fillId="0" borderId="295" xfId="2" applyFont="1" applyBorder="1" applyAlignment="1">
      <alignment horizontal="left"/>
    </xf>
    <xf numFmtId="0" fontId="4" fillId="0" borderId="295" xfId="2" applyFont="1" applyBorder="1" applyAlignment="1">
      <alignment horizontal="center"/>
    </xf>
    <xf numFmtId="164" fontId="3" fillId="0" borderId="295" xfId="2" quotePrefix="1" applyNumberFormat="1" applyFont="1" applyBorder="1" applyAlignment="1">
      <alignment horizontal="center" vertical="center"/>
    </xf>
    <xf numFmtId="164" fontId="2" fillId="0" borderId="295" xfId="2" applyNumberFormat="1" applyFont="1" applyBorder="1" applyAlignment="1">
      <alignment horizontal="center" vertical="center"/>
    </xf>
    <xf numFmtId="0" fontId="2" fillId="0" borderId="296" xfId="2" applyFont="1" applyBorder="1" applyAlignment="1">
      <alignment horizontal="left" vertical="center"/>
    </xf>
    <xf numFmtId="0" fontId="2" fillId="0" borderId="296" xfId="2" applyFont="1" applyBorder="1" applyAlignment="1">
      <alignment horizontal="center" vertical="center"/>
    </xf>
    <xf numFmtId="0" fontId="2" fillId="0" borderId="297" xfId="0" applyFont="1" applyBorder="1" applyAlignment="1">
      <alignment horizontal="center" vertical="center"/>
    </xf>
    <xf numFmtId="43" fontId="2" fillId="0" borderId="297" xfId="1" applyFont="1" applyBorder="1" applyAlignment="1">
      <alignment vertical="center"/>
    </xf>
    <xf numFmtId="164" fontId="2" fillId="0" borderId="295" xfId="2" quotePrefix="1" applyNumberFormat="1" applyFont="1" applyBorder="1" applyAlignment="1">
      <alignment horizontal="center" vertical="center"/>
    </xf>
    <xf numFmtId="0" fontId="2" fillId="0" borderId="295" xfId="2" applyFont="1" applyBorder="1" applyAlignment="1">
      <alignment horizontal="left"/>
    </xf>
    <xf numFmtId="0" fontId="2" fillId="0" borderId="295" xfId="2" applyFont="1" applyBorder="1" applyAlignment="1">
      <alignment horizontal="center"/>
    </xf>
    <xf numFmtId="164" fontId="8" fillId="0" borderId="295" xfId="2" quotePrefix="1" applyNumberFormat="1" applyFont="1" applyBorder="1" applyAlignment="1">
      <alignment horizontal="center" vertical="center"/>
    </xf>
    <xf numFmtId="164" fontId="2" fillId="0" borderId="295" xfId="2" applyNumberFormat="1" applyFont="1" applyBorder="1" applyAlignment="1">
      <alignment horizontal="center"/>
    </xf>
    <xf numFmtId="0" fontId="2" fillId="0" borderId="296" xfId="2" applyFont="1" applyBorder="1" applyAlignment="1">
      <alignment horizontal="left"/>
    </xf>
    <xf numFmtId="0" fontId="2" fillId="0" borderId="296" xfId="2" applyFont="1" applyBorder="1" applyAlignment="1">
      <alignment horizontal="center"/>
    </xf>
    <xf numFmtId="0" fontId="2" fillId="0" borderId="297" xfId="0" applyFont="1" applyBorder="1" applyAlignment="1">
      <alignment horizontal="center"/>
    </xf>
    <xf numFmtId="43" fontId="2" fillId="0" borderId="297" xfId="1" applyFont="1" applyBorder="1"/>
    <xf numFmtId="0" fontId="2" fillId="5" borderId="298" xfId="2" applyFont="1" applyFill="1" applyBorder="1" applyAlignment="1">
      <alignment horizontal="center"/>
    </xf>
    <xf numFmtId="43" fontId="4" fillId="5" borderId="299" xfId="1" applyFont="1" applyFill="1" applyBorder="1" applyAlignment="1"/>
    <xf numFmtId="0" fontId="4" fillId="5" borderId="299" xfId="2" applyFont="1" applyFill="1" applyBorder="1"/>
    <xf numFmtId="43" fontId="4" fillId="5" borderId="299" xfId="1" applyFont="1" applyFill="1" applyBorder="1" applyAlignment="1">
      <alignment horizontal="left"/>
    </xf>
    <xf numFmtId="0" fontId="4" fillId="5" borderId="299" xfId="2" applyFont="1" applyFill="1" applyBorder="1" applyAlignment="1">
      <alignment horizontal="center"/>
    </xf>
    <xf numFmtId="164" fontId="7" fillId="5" borderId="299" xfId="2" applyNumberFormat="1" applyFont="1" applyFill="1" applyBorder="1" applyAlignment="1">
      <alignment horizontal="right" vertical="center"/>
    </xf>
    <xf numFmtId="164" fontId="4" fillId="5" borderId="295" xfId="1" applyNumberFormat="1" applyFont="1" applyFill="1" applyBorder="1" applyAlignment="1">
      <alignment horizontal="center" vertical="center"/>
    </xf>
    <xf numFmtId="0" fontId="2" fillId="5" borderId="296" xfId="2" applyFont="1" applyFill="1" applyBorder="1" applyAlignment="1">
      <alignment horizontal="left" vertical="center"/>
    </xf>
    <xf numFmtId="0" fontId="4" fillId="5" borderId="296" xfId="2" applyFont="1" applyFill="1" applyBorder="1" applyAlignment="1">
      <alignment horizontal="center"/>
    </xf>
    <xf numFmtId="43" fontId="8" fillId="3" borderId="297" xfId="1" applyFont="1" applyFill="1" applyBorder="1"/>
    <xf numFmtId="43" fontId="2" fillId="0" borderId="0" xfId="1" applyFont="1"/>
    <xf numFmtId="43" fontId="2" fillId="0" borderId="0" xfId="1" applyFont="1" applyAlignment="1">
      <alignment horizontal="left"/>
    </xf>
    <xf numFmtId="165" fontId="2" fillId="0" borderId="0" xfId="1" applyNumberFormat="1" applyFont="1"/>
    <xf numFmtId="43" fontId="1" fillId="0" borderId="68" xfId="1" applyFont="1" applyFill="1" applyBorder="1" applyAlignment="1">
      <alignment horizontal="left" vertical="center"/>
    </xf>
    <xf numFmtId="43" fontId="8" fillId="0" borderId="208" xfId="1" applyFont="1" applyFill="1" applyBorder="1" applyAlignment="1">
      <alignment vertical="center"/>
    </xf>
    <xf numFmtId="43" fontId="8" fillId="0" borderId="207" xfId="1" applyFont="1" applyFill="1" applyBorder="1" applyAlignment="1">
      <alignment vertical="center"/>
    </xf>
    <xf numFmtId="43" fontId="8" fillId="0" borderId="209" xfId="1" applyFont="1" applyFill="1" applyBorder="1" applyAlignment="1">
      <alignment vertical="center"/>
    </xf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/>
    </xf>
    <xf numFmtId="0" fontId="2" fillId="5" borderId="2" xfId="2" applyFont="1" applyFill="1" applyBorder="1" applyAlignment="1">
      <alignment horizontal="center"/>
    </xf>
    <xf numFmtId="0" fontId="2" fillId="5" borderId="3" xfId="2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91"/>
  <sheetViews>
    <sheetView tabSelected="1" topLeftCell="B624" zoomScaleNormal="100" workbookViewId="0">
      <selection activeCell="D633" sqref="D633"/>
    </sheetView>
  </sheetViews>
  <sheetFormatPr defaultRowHeight="15" x14ac:dyDescent="0.25"/>
  <cols>
    <col min="3" max="3" width="5.1640625" style="1" customWidth="1"/>
    <col min="4" max="4" width="19.33203125" style="1078" customWidth="1"/>
    <col min="5" max="5" width="3.5" style="3" customWidth="1"/>
    <col min="6" max="6" width="4.6640625" style="1" customWidth="1"/>
    <col min="7" max="7" width="10.5" style="1079" bestFit="1" customWidth="1"/>
    <col min="8" max="8" width="17.1640625" style="1" customWidth="1"/>
    <col min="9" max="10" width="14.83203125" style="5" bestFit="1" customWidth="1"/>
    <col min="11" max="12" width="3" style="3" customWidth="1"/>
    <col min="13" max="13" width="9.5" style="1" customWidth="1"/>
    <col min="14" max="14" width="9.1640625" style="1" customWidth="1"/>
    <col min="15" max="15" width="9.33203125" style="1" customWidth="1"/>
    <col min="16" max="16" width="10" style="1078" customWidth="1"/>
    <col min="17" max="17" width="14.5" style="1080" customWidth="1"/>
    <col min="18" max="18" width="23.5" style="1080" customWidth="1"/>
    <col min="19" max="19" width="12.83203125" bestFit="1" customWidth="1"/>
  </cols>
  <sheetData>
    <row r="1" spans="3:19" x14ac:dyDescent="0.25">
      <c r="D1" s="2"/>
      <c r="G1" s="4"/>
      <c r="P1" s="2"/>
      <c r="Q1" s="6"/>
      <c r="R1" s="6"/>
    </row>
    <row r="2" spans="3:19" x14ac:dyDescent="0.25">
      <c r="D2" s="2"/>
      <c r="G2" s="4"/>
      <c r="P2" s="2"/>
      <c r="Q2" s="6"/>
      <c r="R2" s="6"/>
    </row>
    <row r="3" spans="3:19" x14ac:dyDescent="0.25">
      <c r="C3" s="1085" t="s">
        <v>0</v>
      </c>
      <c r="D3" s="1086"/>
      <c r="E3" s="1086"/>
      <c r="F3" s="1086"/>
      <c r="G3" s="1086"/>
      <c r="H3" s="1086"/>
      <c r="I3" s="1086"/>
      <c r="J3" s="1086"/>
      <c r="K3" s="1086"/>
      <c r="L3" s="1086"/>
      <c r="M3" s="1086"/>
      <c r="N3" s="1086"/>
      <c r="O3" s="1086"/>
      <c r="P3" s="7"/>
      <c r="Q3" s="8"/>
      <c r="R3" s="6"/>
      <c r="S3" s="9"/>
    </row>
    <row r="4" spans="3:19" x14ac:dyDescent="0.2">
      <c r="C4" s="10"/>
      <c r="D4" s="11"/>
      <c r="E4" s="12"/>
      <c r="F4" s="12"/>
      <c r="G4" s="13"/>
      <c r="H4" s="12"/>
      <c r="I4" s="14"/>
      <c r="J4" s="14"/>
      <c r="K4" s="12"/>
      <c r="L4" s="12"/>
      <c r="M4" s="12"/>
      <c r="N4" s="15"/>
      <c r="O4" s="15"/>
      <c r="P4" s="16"/>
      <c r="Q4" s="8"/>
      <c r="R4" s="8"/>
      <c r="S4" s="9"/>
    </row>
    <row r="5" spans="3:19" x14ac:dyDescent="0.2">
      <c r="C5" s="17" t="s">
        <v>1</v>
      </c>
      <c r="D5" s="18" t="s">
        <v>2</v>
      </c>
      <c r="E5" s="19" t="s">
        <v>3</v>
      </c>
      <c r="F5" s="19" t="s">
        <v>4</v>
      </c>
      <c r="G5" s="20" t="s">
        <v>5</v>
      </c>
      <c r="H5" s="19" t="s">
        <v>6</v>
      </c>
      <c r="I5" s="21" t="s">
        <v>7</v>
      </c>
      <c r="J5" s="21" t="s">
        <v>8</v>
      </c>
      <c r="K5" s="22"/>
      <c r="L5" s="23"/>
      <c r="M5" s="23" t="s">
        <v>9</v>
      </c>
      <c r="N5" s="24" t="s">
        <v>10</v>
      </c>
      <c r="O5" s="24" t="s">
        <v>11</v>
      </c>
      <c r="P5" s="25"/>
      <c r="Q5" s="26"/>
      <c r="R5" s="26"/>
      <c r="S5" s="27"/>
    </row>
    <row r="6" spans="3:19" x14ac:dyDescent="0.2">
      <c r="C6" s="28">
        <v>1</v>
      </c>
      <c r="D6" s="29" t="s">
        <v>12</v>
      </c>
      <c r="E6" s="30"/>
      <c r="F6" s="31"/>
      <c r="G6" s="32" t="s">
        <v>13</v>
      </c>
      <c r="H6" s="33">
        <v>46082</v>
      </c>
      <c r="I6" s="34"/>
      <c r="J6" s="34"/>
      <c r="K6" s="30"/>
      <c r="L6" s="30"/>
      <c r="M6" s="31"/>
      <c r="N6" s="35"/>
      <c r="O6" s="35"/>
      <c r="P6" s="36"/>
      <c r="Q6" s="26"/>
      <c r="R6" s="26"/>
      <c r="S6" s="37"/>
    </row>
    <row r="7" spans="3:19" x14ac:dyDescent="0.2">
      <c r="C7" s="28">
        <v>1</v>
      </c>
      <c r="D7" s="29" t="s">
        <v>12</v>
      </c>
      <c r="E7" s="30"/>
      <c r="F7" s="31"/>
      <c r="G7" s="29" t="s">
        <v>14</v>
      </c>
      <c r="H7" s="33">
        <v>46083</v>
      </c>
      <c r="I7" s="34">
        <v>0.32273148148148151</v>
      </c>
      <c r="J7" s="34"/>
      <c r="K7" s="30"/>
      <c r="L7" s="30"/>
      <c r="M7" s="31"/>
      <c r="N7" s="35"/>
      <c r="O7" s="35"/>
      <c r="P7" s="36"/>
      <c r="Q7" s="26"/>
      <c r="R7" s="26"/>
      <c r="S7" s="37"/>
    </row>
    <row r="8" spans="3:19" x14ac:dyDescent="0.2">
      <c r="C8" s="38">
        <v>1</v>
      </c>
      <c r="D8" s="39" t="s">
        <v>12</v>
      </c>
      <c r="E8" s="40"/>
      <c r="F8" s="41"/>
      <c r="G8" s="39" t="s">
        <v>15</v>
      </c>
      <c r="H8" s="33">
        <v>46084</v>
      </c>
      <c r="I8" s="42">
        <v>0.32824074074074078</v>
      </c>
      <c r="J8" s="42">
        <v>0.74855324074074081</v>
      </c>
      <c r="K8" s="40"/>
      <c r="L8" s="40"/>
      <c r="M8" s="41"/>
      <c r="N8" s="43"/>
      <c r="O8" s="43"/>
      <c r="P8" s="44"/>
      <c r="Q8" s="26"/>
      <c r="R8" s="26"/>
      <c r="S8" s="37"/>
    </row>
    <row r="9" spans="3:19" x14ac:dyDescent="0.2">
      <c r="C9" s="38">
        <v>1</v>
      </c>
      <c r="D9" s="39" t="s">
        <v>12</v>
      </c>
      <c r="E9" s="40"/>
      <c r="F9" s="41"/>
      <c r="G9" s="39" t="s">
        <v>16</v>
      </c>
      <c r="H9" s="33">
        <v>46085</v>
      </c>
      <c r="I9" s="42">
        <v>0.32317129629629632</v>
      </c>
      <c r="J9" s="42">
        <v>0.71055555555555561</v>
      </c>
      <c r="K9" s="40"/>
      <c r="L9" s="40"/>
      <c r="M9" s="41"/>
      <c r="N9" s="43"/>
      <c r="O9" s="43"/>
      <c r="P9" s="44"/>
      <c r="Q9" s="26"/>
      <c r="R9" s="26"/>
      <c r="S9" s="37"/>
    </row>
    <row r="10" spans="3:19" x14ac:dyDescent="0.2">
      <c r="C10" s="38">
        <v>1</v>
      </c>
      <c r="D10" s="39" t="s">
        <v>12</v>
      </c>
      <c r="E10" s="40"/>
      <c r="F10" s="41"/>
      <c r="G10" s="39" t="s">
        <v>17</v>
      </c>
      <c r="H10" s="33">
        <v>46086</v>
      </c>
      <c r="I10" s="42">
        <v>0.3261458333333333</v>
      </c>
      <c r="J10" s="42">
        <v>0.71228009259259262</v>
      </c>
      <c r="K10" s="40"/>
      <c r="L10" s="40"/>
      <c r="M10" s="41"/>
      <c r="N10" s="43"/>
      <c r="O10" s="43"/>
      <c r="P10" s="44"/>
      <c r="Q10" s="26"/>
      <c r="R10" s="26"/>
      <c r="S10" s="37"/>
    </row>
    <row r="11" spans="3:19" x14ac:dyDescent="0.2">
      <c r="C11" s="38">
        <v>1</v>
      </c>
      <c r="D11" s="39" t="s">
        <v>12</v>
      </c>
      <c r="E11" s="40"/>
      <c r="F11" s="41"/>
      <c r="G11" s="45" t="s">
        <v>18</v>
      </c>
      <c r="H11" s="33">
        <v>46087</v>
      </c>
      <c r="I11" s="42">
        <v>0.32503472222222224</v>
      </c>
      <c r="J11" s="42">
        <v>0.71101851851851849</v>
      </c>
      <c r="K11" s="40"/>
      <c r="L11" s="40"/>
      <c r="M11" s="41"/>
      <c r="N11" s="43"/>
      <c r="O11" s="43"/>
      <c r="P11" s="44"/>
      <c r="Q11" s="26"/>
      <c r="R11" s="26"/>
      <c r="S11" s="37"/>
    </row>
    <row r="12" spans="3:19" x14ac:dyDescent="0.2">
      <c r="C12" s="38">
        <v>1</v>
      </c>
      <c r="D12" s="39" t="s">
        <v>12</v>
      </c>
      <c r="E12" s="40"/>
      <c r="F12" s="41"/>
      <c r="G12" s="39" t="s">
        <v>19</v>
      </c>
      <c r="H12" s="33">
        <v>46088</v>
      </c>
      <c r="I12" s="42">
        <v>0.31938657407407406</v>
      </c>
      <c r="J12" s="42">
        <v>0.54473379629629626</v>
      </c>
      <c r="K12" s="40"/>
      <c r="L12" s="40"/>
      <c r="M12" s="41"/>
      <c r="N12" s="43"/>
      <c r="O12" s="43"/>
      <c r="P12" s="44"/>
      <c r="Q12" s="26"/>
      <c r="R12" s="26"/>
      <c r="S12" s="37"/>
    </row>
    <row r="13" spans="3:19" x14ac:dyDescent="0.2">
      <c r="C13" s="38">
        <v>1</v>
      </c>
      <c r="D13" s="39" t="s">
        <v>12</v>
      </c>
      <c r="E13" s="40"/>
      <c r="F13" s="41"/>
      <c r="G13" s="46" t="s">
        <v>13</v>
      </c>
      <c r="H13" s="33">
        <v>46089</v>
      </c>
      <c r="I13" s="42"/>
      <c r="J13" s="42"/>
      <c r="K13" s="40"/>
      <c r="L13" s="40"/>
      <c r="M13" s="41"/>
      <c r="N13" s="43"/>
      <c r="O13" s="43"/>
      <c r="P13" s="44"/>
      <c r="Q13" s="26"/>
      <c r="R13" s="26"/>
      <c r="S13" s="37"/>
    </row>
    <row r="14" spans="3:19" x14ac:dyDescent="0.2">
      <c r="C14" s="38">
        <v>1</v>
      </c>
      <c r="D14" s="39" t="s">
        <v>12</v>
      </c>
      <c r="E14" s="40"/>
      <c r="F14" s="41"/>
      <c r="G14" s="39" t="s">
        <v>14</v>
      </c>
      <c r="H14" s="33">
        <v>46090</v>
      </c>
      <c r="I14" s="42">
        <v>0.32400462962962967</v>
      </c>
      <c r="J14" s="42">
        <v>0.71038194444444447</v>
      </c>
      <c r="K14" s="40"/>
      <c r="L14" s="40"/>
      <c r="M14" s="41"/>
      <c r="N14" s="43"/>
      <c r="O14" s="43"/>
      <c r="P14" s="44"/>
      <c r="Q14" s="26"/>
      <c r="R14" s="26"/>
      <c r="S14" s="37"/>
    </row>
    <row r="15" spans="3:19" x14ac:dyDescent="0.2">
      <c r="C15" s="38">
        <v>1</v>
      </c>
      <c r="D15" s="39" t="s">
        <v>12</v>
      </c>
      <c r="E15" s="40"/>
      <c r="F15" s="41"/>
      <c r="G15" s="39" t="s">
        <v>15</v>
      </c>
      <c r="H15" s="33">
        <v>46091</v>
      </c>
      <c r="I15" s="47">
        <v>0.3245601851851852</v>
      </c>
      <c r="J15" s="42">
        <v>0.71062499999999995</v>
      </c>
      <c r="K15" s="40"/>
      <c r="L15" s="40"/>
      <c r="M15" s="41"/>
      <c r="N15" s="43"/>
      <c r="O15" s="43"/>
      <c r="P15" s="44"/>
      <c r="Q15" s="26"/>
      <c r="R15" s="26"/>
      <c r="S15" s="37"/>
    </row>
    <row r="16" spans="3:19" x14ac:dyDescent="0.2">
      <c r="C16" s="38">
        <v>1</v>
      </c>
      <c r="D16" s="39" t="s">
        <v>12</v>
      </c>
      <c r="E16" s="40"/>
      <c r="F16" s="41"/>
      <c r="G16" s="39" t="s">
        <v>16</v>
      </c>
      <c r="H16" s="33">
        <v>46092</v>
      </c>
      <c r="I16" s="47">
        <v>0.32377314814814812</v>
      </c>
      <c r="J16" s="42">
        <v>0.71018518518518514</v>
      </c>
      <c r="K16" s="40"/>
      <c r="L16" s="40"/>
      <c r="M16" s="41"/>
      <c r="N16" s="43"/>
      <c r="O16" s="43"/>
      <c r="P16" s="44"/>
      <c r="Q16" s="26"/>
      <c r="R16" s="26"/>
      <c r="S16" s="37"/>
    </row>
    <row r="17" spans="3:19" x14ac:dyDescent="0.2">
      <c r="C17" s="38">
        <v>1</v>
      </c>
      <c r="D17" s="39" t="s">
        <v>12</v>
      </c>
      <c r="E17" s="40"/>
      <c r="F17" s="41"/>
      <c r="G17" s="39" t="s">
        <v>17</v>
      </c>
      <c r="H17" s="33">
        <v>46093</v>
      </c>
      <c r="I17" s="47">
        <v>0.32370370370370372</v>
      </c>
      <c r="J17" s="42">
        <v>0.71103009259259264</v>
      </c>
      <c r="K17" s="40"/>
      <c r="L17" s="40"/>
      <c r="M17" s="41"/>
      <c r="N17" s="43"/>
      <c r="O17" s="43"/>
      <c r="P17" s="44"/>
      <c r="Q17" s="26"/>
      <c r="R17" s="26"/>
      <c r="S17" s="37"/>
    </row>
    <row r="18" spans="3:19" x14ac:dyDescent="0.2">
      <c r="C18" s="38">
        <v>1</v>
      </c>
      <c r="D18" s="39" t="s">
        <v>12</v>
      </c>
      <c r="E18" s="40"/>
      <c r="F18" s="41"/>
      <c r="G18" s="48" t="s">
        <v>18</v>
      </c>
      <c r="H18" s="33">
        <v>46094</v>
      </c>
      <c r="I18" s="42">
        <v>0.32848379629629632</v>
      </c>
      <c r="J18" s="42">
        <v>0.70944444444444443</v>
      </c>
      <c r="K18" s="40"/>
      <c r="L18" s="40"/>
      <c r="M18" s="41"/>
      <c r="N18" s="43"/>
      <c r="O18" s="43"/>
      <c r="P18" s="44"/>
      <c r="Q18" s="26"/>
      <c r="R18" s="26"/>
      <c r="S18" s="37"/>
    </row>
    <row r="19" spans="3:19" x14ac:dyDescent="0.2">
      <c r="C19" s="38">
        <v>1</v>
      </c>
      <c r="D19" s="39" t="s">
        <v>12</v>
      </c>
      <c r="E19" s="40"/>
      <c r="F19" s="41"/>
      <c r="G19" s="39" t="s">
        <v>19</v>
      </c>
      <c r="H19" s="33">
        <v>46095</v>
      </c>
      <c r="I19" s="42">
        <v>0.32951388888888888</v>
      </c>
      <c r="J19" s="42"/>
      <c r="K19" s="40"/>
      <c r="L19" s="40"/>
      <c r="M19" s="41"/>
      <c r="N19" s="43"/>
      <c r="O19" s="43"/>
      <c r="P19" s="44"/>
      <c r="Q19" s="26"/>
      <c r="R19" s="26"/>
      <c r="S19" s="37"/>
    </row>
    <row r="20" spans="3:19" x14ac:dyDescent="0.2">
      <c r="C20" s="38">
        <v>1</v>
      </c>
      <c r="D20" s="39" t="s">
        <v>12</v>
      </c>
      <c r="E20" s="40"/>
      <c r="F20" s="41"/>
      <c r="G20" s="46" t="s">
        <v>13</v>
      </c>
      <c r="H20" s="33">
        <v>46096</v>
      </c>
      <c r="I20" s="42"/>
      <c r="J20" s="42"/>
      <c r="K20" s="40"/>
      <c r="L20" s="40"/>
      <c r="M20" s="41"/>
      <c r="N20" s="43"/>
      <c r="O20" s="43"/>
      <c r="P20" s="44"/>
      <c r="Q20" s="26"/>
      <c r="R20" s="26"/>
      <c r="S20" s="37"/>
    </row>
    <row r="21" spans="3:19" x14ac:dyDescent="0.2">
      <c r="C21" s="38">
        <v>1</v>
      </c>
      <c r="D21" s="39" t="s">
        <v>12</v>
      </c>
      <c r="E21" s="40"/>
      <c r="F21" s="41"/>
      <c r="G21" s="39" t="s">
        <v>14</v>
      </c>
      <c r="H21" s="33">
        <v>46097</v>
      </c>
      <c r="I21" s="42"/>
      <c r="J21" s="42"/>
      <c r="K21" s="40"/>
      <c r="L21" s="40"/>
      <c r="M21" s="41"/>
      <c r="N21" s="43"/>
      <c r="O21" s="43"/>
      <c r="P21" s="44"/>
      <c r="Q21" s="26"/>
      <c r="R21" s="26"/>
      <c r="S21" s="37"/>
    </row>
    <row r="22" spans="3:19" x14ac:dyDescent="0.2">
      <c r="C22" s="38">
        <v>1</v>
      </c>
      <c r="D22" s="39" t="s">
        <v>12</v>
      </c>
      <c r="E22" s="40"/>
      <c r="F22" s="41"/>
      <c r="G22" s="39" t="s">
        <v>15</v>
      </c>
      <c r="H22" s="33">
        <v>46098</v>
      </c>
      <c r="I22" s="42"/>
      <c r="J22" s="42"/>
      <c r="K22" s="40"/>
      <c r="L22" s="40"/>
      <c r="M22" s="41"/>
      <c r="N22" s="43"/>
      <c r="O22" s="43"/>
      <c r="P22" s="44"/>
      <c r="Q22" s="26"/>
      <c r="R22" s="26"/>
      <c r="S22" s="37"/>
    </row>
    <row r="23" spans="3:19" x14ac:dyDescent="0.2">
      <c r="C23" s="38">
        <v>1</v>
      </c>
      <c r="D23" s="39" t="s">
        <v>12</v>
      </c>
      <c r="E23" s="40"/>
      <c r="F23" s="41"/>
      <c r="G23" s="39" t="s">
        <v>16</v>
      </c>
      <c r="H23" s="33">
        <v>46099</v>
      </c>
      <c r="I23" s="42"/>
      <c r="J23" s="42"/>
      <c r="K23" s="40"/>
      <c r="L23" s="40"/>
      <c r="M23" s="41"/>
      <c r="N23" s="43"/>
      <c r="O23" s="43"/>
      <c r="P23" s="44"/>
      <c r="Q23" s="26"/>
      <c r="R23" s="26"/>
      <c r="S23" s="37"/>
    </row>
    <row r="24" spans="3:19" x14ac:dyDescent="0.2">
      <c r="C24" s="38">
        <v>1</v>
      </c>
      <c r="D24" s="39" t="s">
        <v>12</v>
      </c>
      <c r="E24" s="40"/>
      <c r="F24" s="41"/>
      <c r="G24" s="39" t="s">
        <v>17</v>
      </c>
      <c r="H24" s="33">
        <v>46100</v>
      </c>
      <c r="I24" s="42"/>
      <c r="J24" s="42"/>
      <c r="K24" s="40"/>
      <c r="L24" s="40"/>
      <c r="M24" s="41"/>
      <c r="N24" s="43"/>
      <c r="O24" s="43"/>
      <c r="P24" s="44"/>
      <c r="Q24" s="26"/>
      <c r="R24" s="26"/>
      <c r="S24" s="37"/>
    </row>
    <row r="25" spans="3:19" x14ac:dyDescent="0.2">
      <c r="C25" s="38">
        <v>1</v>
      </c>
      <c r="D25" s="39" t="s">
        <v>12</v>
      </c>
      <c r="E25" s="40"/>
      <c r="F25" s="41"/>
      <c r="G25" s="39" t="s">
        <v>18</v>
      </c>
      <c r="H25" s="33">
        <v>46101</v>
      </c>
      <c r="I25" s="42"/>
      <c r="J25" s="42"/>
      <c r="K25" s="40"/>
      <c r="L25" s="40"/>
      <c r="M25" s="41"/>
      <c r="N25" s="43"/>
      <c r="O25" s="43"/>
      <c r="P25" s="44"/>
      <c r="Q25" s="26"/>
      <c r="R25" s="26"/>
      <c r="S25" s="37"/>
    </row>
    <row r="26" spans="3:19" x14ac:dyDescent="0.2">
      <c r="C26" s="38">
        <v>1</v>
      </c>
      <c r="D26" s="39" t="s">
        <v>12</v>
      </c>
      <c r="E26" s="40"/>
      <c r="F26" s="41"/>
      <c r="G26" s="39" t="s">
        <v>19</v>
      </c>
      <c r="H26" s="33">
        <v>46102</v>
      </c>
      <c r="I26" s="42"/>
      <c r="J26" s="42"/>
      <c r="K26" s="40"/>
      <c r="L26" s="40"/>
      <c r="M26" s="41"/>
      <c r="N26" s="43"/>
      <c r="O26" s="43"/>
      <c r="P26" s="44"/>
      <c r="Q26" s="26"/>
      <c r="R26" s="26"/>
      <c r="S26" s="37"/>
    </row>
    <row r="27" spans="3:19" x14ac:dyDescent="0.2">
      <c r="C27" s="38">
        <v>1</v>
      </c>
      <c r="D27" s="39" t="s">
        <v>12</v>
      </c>
      <c r="E27" s="40"/>
      <c r="F27" s="41"/>
      <c r="G27" s="46" t="s">
        <v>13</v>
      </c>
      <c r="H27" s="33">
        <v>46103</v>
      </c>
      <c r="I27" s="42"/>
      <c r="J27" s="42"/>
      <c r="K27" s="40"/>
      <c r="L27" s="40"/>
      <c r="M27" s="41"/>
      <c r="N27" s="43"/>
      <c r="O27" s="43"/>
      <c r="P27" s="44"/>
      <c r="Q27" s="26"/>
      <c r="R27" s="26"/>
      <c r="S27" s="37"/>
    </row>
    <row r="28" spans="3:19" x14ac:dyDescent="0.2">
      <c r="C28" s="38">
        <v>1</v>
      </c>
      <c r="D28" s="39" t="s">
        <v>12</v>
      </c>
      <c r="E28" s="40"/>
      <c r="F28" s="41"/>
      <c r="G28" s="39" t="s">
        <v>14</v>
      </c>
      <c r="H28" s="33">
        <v>46104</v>
      </c>
      <c r="I28" s="42"/>
      <c r="J28" s="42"/>
      <c r="K28" s="40"/>
      <c r="L28" s="40"/>
      <c r="M28" s="41"/>
      <c r="N28" s="43"/>
      <c r="O28" s="43"/>
      <c r="P28" s="44"/>
      <c r="Q28" s="26"/>
      <c r="R28" s="26"/>
      <c r="S28" s="37"/>
    </row>
    <row r="29" spans="3:19" x14ac:dyDescent="0.2">
      <c r="C29" s="38">
        <v>1</v>
      </c>
      <c r="D29" s="39" t="s">
        <v>12</v>
      </c>
      <c r="E29" s="40"/>
      <c r="F29" s="41"/>
      <c r="G29" s="39" t="s">
        <v>15</v>
      </c>
      <c r="H29" s="33">
        <v>46105</v>
      </c>
      <c r="I29" s="42"/>
      <c r="J29" s="42"/>
      <c r="K29" s="40"/>
      <c r="L29" s="40"/>
      <c r="M29" s="41"/>
      <c r="N29" s="43"/>
      <c r="O29" s="43"/>
      <c r="P29" s="44"/>
      <c r="Q29" s="26"/>
      <c r="R29" s="26"/>
      <c r="S29" s="37"/>
    </row>
    <row r="30" spans="3:19" x14ac:dyDescent="0.2">
      <c r="C30" s="38">
        <v>1</v>
      </c>
      <c r="D30" s="39" t="s">
        <v>12</v>
      </c>
      <c r="E30" s="40"/>
      <c r="F30" s="41"/>
      <c r="G30" s="39" t="s">
        <v>16</v>
      </c>
      <c r="H30" s="33">
        <v>46106</v>
      </c>
      <c r="I30" s="42"/>
      <c r="J30" s="42"/>
      <c r="K30" s="40"/>
      <c r="L30" s="40"/>
      <c r="M30" s="41"/>
      <c r="N30" s="43"/>
      <c r="O30" s="43"/>
      <c r="P30" s="44"/>
      <c r="Q30" s="26"/>
      <c r="R30" s="26"/>
      <c r="S30" s="37"/>
    </row>
    <row r="31" spans="3:19" x14ac:dyDescent="0.2">
      <c r="C31" s="38">
        <v>1</v>
      </c>
      <c r="D31" s="39" t="s">
        <v>12</v>
      </c>
      <c r="E31" s="40"/>
      <c r="F31" s="41"/>
      <c r="G31" s="39" t="s">
        <v>17</v>
      </c>
      <c r="H31" s="33">
        <v>46107</v>
      </c>
      <c r="I31" s="42"/>
      <c r="J31" s="42"/>
      <c r="K31" s="40"/>
      <c r="L31" s="40"/>
      <c r="M31" s="41"/>
      <c r="N31" s="43"/>
      <c r="O31" s="43"/>
      <c r="P31" s="44"/>
      <c r="Q31" s="26"/>
      <c r="R31" s="26"/>
      <c r="S31" s="37"/>
    </row>
    <row r="32" spans="3:19" x14ac:dyDescent="0.2">
      <c r="C32" s="38">
        <v>1</v>
      </c>
      <c r="D32" s="39" t="s">
        <v>12</v>
      </c>
      <c r="E32" s="40"/>
      <c r="F32" s="41"/>
      <c r="G32" s="39" t="s">
        <v>18</v>
      </c>
      <c r="H32" s="33">
        <v>46108</v>
      </c>
      <c r="I32" s="42"/>
      <c r="J32" s="42"/>
      <c r="K32" s="40"/>
      <c r="L32" s="40"/>
      <c r="M32" s="41"/>
      <c r="N32" s="43"/>
      <c r="O32" s="43"/>
      <c r="P32" s="44"/>
      <c r="Q32" s="26"/>
      <c r="R32" s="26"/>
      <c r="S32" s="37"/>
    </row>
    <row r="33" spans="3:19" x14ac:dyDescent="0.2">
      <c r="C33" s="38">
        <v>1</v>
      </c>
      <c r="D33" s="39" t="s">
        <v>12</v>
      </c>
      <c r="E33" s="40"/>
      <c r="F33" s="41"/>
      <c r="G33" s="39" t="s">
        <v>19</v>
      </c>
      <c r="H33" s="33">
        <v>46109</v>
      </c>
      <c r="I33" s="42"/>
      <c r="J33" s="42"/>
      <c r="K33" s="40"/>
      <c r="L33" s="40"/>
      <c r="M33" s="41"/>
      <c r="N33" s="43"/>
      <c r="O33" s="43"/>
      <c r="P33" s="44"/>
      <c r="Q33" s="26"/>
      <c r="R33" s="26"/>
      <c r="S33" s="37"/>
    </row>
    <row r="34" spans="3:19" x14ac:dyDescent="0.2">
      <c r="C34" s="38">
        <v>1</v>
      </c>
      <c r="D34" s="39" t="s">
        <v>12</v>
      </c>
      <c r="E34" s="40"/>
      <c r="F34" s="41"/>
      <c r="G34" s="46" t="s">
        <v>13</v>
      </c>
      <c r="H34" s="33">
        <v>46110</v>
      </c>
      <c r="I34" s="42"/>
      <c r="J34" s="42"/>
      <c r="K34" s="40"/>
      <c r="L34" s="40"/>
      <c r="M34" s="41"/>
      <c r="N34" s="43"/>
      <c r="O34" s="43"/>
      <c r="P34" s="44"/>
      <c r="Q34" s="26"/>
      <c r="R34" s="26"/>
      <c r="S34" s="37"/>
    </row>
    <row r="35" spans="3:19" x14ac:dyDescent="0.2">
      <c r="C35" s="38">
        <v>1</v>
      </c>
      <c r="D35" s="39" t="s">
        <v>12</v>
      </c>
      <c r="E35" s="40"/>
      <c r="F35" s="41"/>
      <c r="G35" s="39" t="s">
        <v>14</v>
      </c>
      <c r="H35" s="33">
        <v>46111</v>
      </c>
      <c r="I35" s="42"/>
      <c r="J35" s="42"/>
      <c r="K35" s="40"/>
      <c r="L35" s="40"/>
      <c r="M35" s="41"/>
      <c r="N35" s="43"/>
      <c r="O35" s="43"/>
      <c r="P35" s="44"/>
      <c r="Q35" s="26"/>
      <c r="R35" s="26"/>
      <c r="S35" s="37"/>
    </row>
    <row r="36" spans="3:19" x14ac:dyDescent="0.2">
      <c r="C36" s="38">
        <v>1</v>
      </c>
      <c r="D36" s="39" t="s">
        <v>12</v>
      </c>
      <c r="E36" s="40"/>
      <c r="F36" s="41"/>
      <c r="G36" s="39" t="s">
        <v>15</v>
      </c>
      <c r="H36" s="33">
        <v>46112</v>
      </c>
      <c r="I36" s="42"/>
      <c r="J36" s="42"/>
      <c r="K36" s="40"/>
      <c r="L36" s="40"/>
      <c r="M36" s="41"/>
      <c r="N36" s="43"/>
      <c r="O36" s="43"/>
      <c r="P36" s="44"/>
      <c r="Q36" s="26"/>
      <c r="R36" s="26"/>
      <c r="S36" s="37"/>
    </row>
    <row r="37" spans="3:19" x14ac:dyDescent="0.2">
      <c r="C37" s="49"/>
      <c r="D37" s="50"/>
      <c r="E37" s="51"/>
      <c r="F37" s="51"/>
      <c r="G37" s="52"/>
      <c r="H37" s="53"/>
      <c r="I37" s="54" t="str">
        <f>D7</f>
        <v>NASAR SUPRIANTO</v>
      </c>
      <c r="J37" s="55" t="s">
        <v>20</v>
      </c>
      <c r="K37" s="56"/>
      <c r="L37" s="56"/>
      <c r="M37" s="53">
        <f>SUM(M6:M36)</f>
        <v>0</v>
      </c>
      <c r="N37" s="53">
        <f t="shared" ref="N37:O37" si="0">SUM(N6:N36)</f>
        <v>0</v>
      </c>
      <c r="O37" s="53">
        <f t="shared" si="0"/>
        <v>0</v>
      </c>
      <c r="P37" s="57"/>
      <c r="Q37" s="26"/>
      <c r="R37" s="26"/>
      <c r="S37" s="37"/>
    </row>
    <row r="38" spans="3:19" x14ac:dyDescent="0.2">
      <c r="C38" s="58"/>
      <c r="D38" s="59"/>
      <c r="E38" s="60"/>
      <c r="F38" s="60"/>
      <c r="G38" s="61"/>
      <c r="H38" s="62"/>
      <c r="I38" s="63"/>
      <c r="J38" s="63"/>
      <c r="K38" s="62"/>
      <c r="L38" s="62"/>
      <c r="M38" s="62"/>
      <c r="N38" s="64"/>
      <c r="O38" s="64"/>
      <c r="P38" s="65"/>
      <c r="Q38" s="26"/>
      <c r="R38" s="26"/>
      <c r="S38" s="37"/>
    </row>
    <row r="39" spans="3:19" x14ac:dyDescent="0.2">
      <c r="C39" s="66" t="s">
        <v>1</v>
      </c>
      <c r="D39" s="67" t="s">
        <v>2</v>
      </c>
      <c r="E39" s="68" t="s">
        <v>3</v>
      </c>
      <c r="F39" s="68" t="s">
        <v>4</v>
      </c>
      <c r="G39" s="69" t="s">
        <v>5</v>
      </c>
      <c r="H39" s="68" t="s">
        <v>6</v>
      </c>
      <c r="I39" s="70" t="s">
        <v>7</v>
      </c>
      <c r="J39" s="70" t="s">
        <v>8</v>
      </c>
      <c r="K39" s="71"/>
      <c r="L39" s="72"/>
      <c r="M39" s="72" t="s">
        <v>9</v>
      </c>
      <c r="N39" s="73" t="s">
        <v>10</v>
      </c>
      <c r="O39" s="73" t="s">
        <v>11</v>
      </c>
      <c r="P39" s="74"/>
      <c r="Q39" s="26"/>
      <c r="R39" s="26"/>
      <c r="S39" s="37"/>
    </row>
    <row r="40" spans="3:19" x14ac:dyDescent="0.2">
      <c r="C40" s="75">
        <v>2</v>
      </c>
      <c r="D40" s="76" t="s">
        <v>21</v>
      </c>
      <c r="E40" s="77" t="s">
        <v>22</v>
      </c>
      <c r="F40" s="78" t="s">
        <v>22</v>
      </c>
      <c r="G40" s="32" t="s">
        <v>13</v>
      </c>
      <c r="H40" s="33">
        <v>46082</v>
      </c>
      <c r="I40" s="34"/>
      <c r="J40" s="34"/>
      <c r="K40" s="30"/>
      <c r="L40" s="30"/>
      <c r="M40" s="31"/>
      <c r="N40" s="35"/>
      <c r="O40" s="35"/>
      <c r="P40" s="36"/>
      <c r="Q40" s="26"/>
      <c r="R40" s="26"/>
      <c r="S40" s="37"/>
    </row>
    <row r="41" spans="3:19" x14ac:dyDescent="0.2">
      <c r="C41" s="75">
        <v>2</v>
      </c>
      <c r="D41" s="76" t="s">
        <v>21</v>
      </c>
      <c r="E41" s="77" t="s">
        <v>22</v>
      </c>
      <c r="F41" s="78" t="s">
        <v>22</v>
      </c>
      <c r="G41" s="29" t="s">
        <v>14</v>
      </c>
      <c r="H41" s="33">
        <v>46083</v>
      </c>
      <c r="I41" s="34"/>
      <c r="J41" s="34"/>
      <c r="K41" s="30"/>
      <c r="L41" s="30"/>
      <c r="M41" s="31"/>
      <c r="N41" s="35"/>
      <c r="O41" s="35"/>
      <c r="P41" s="36"/>
      <c r="Q41" s="26"/>
      <c r="R41" s="26"/>
      <c r="S41" s="37"/>
    </row>
    <row r="42" spans="3:19" x14ac:dyDescent="0.2">
      <c r="C42" s="75">
        <v>2</v>
      </c>
      <c r="D42" s="76" t="s">
        <v>21</v>
      </c>
      <c r="E42" s="77" t="s">
        <v>22</v>
      </c>
      <c r="F42" s="78" t="s">
        <v>22</v>
      </c>
      <c r="G42" s="39" t="s">
        <v>15</v>
      </c>
      <c r="H42" s="33">
        <v>46084</v>
      </c>
      <c r="I42" s="42">
        <v>0.33090277777777777</v>
      </c>
      <c r="J42" s="42">
        <v>0.7091319444444445</v>
      </c>
      <c r="K42" s="40"/>
      <c r="L42" s="40"/>
      <c r="M42" s="41"/>
      <c r="N42" s="43"/>
      <c r="O42" s="43"/>
      <c r="P42" s="44"/>
      <c r="Q42" s="26"/>
      <c r="R42" s="26"/>
      <c r="S42" s="37"/>
    </row>
    <row r="43" spans="3:19" x14ac:dyDescent="0.2">
      <c r="C43" s="75">
        <v>2</v>
      </c>
      <c r="D43" s="76" t="s">
        <v>21</v>
      </c>
      <c r="E43" s="77" t="s">
        <v>22</v>
      </c>
      <c r="F43" s="78" t="s">
        <v>22</v>
      </c>
      <c r="G43" s="39" t="s">
        <v>16</v>
      </c>
      <c r="H43" s="33">
        <v>46085</v>
      </c>
      <c r="I43" s="42">
        <v>0.32810185185185187</v>
      </c>
      <c r="J43" s="42">
        <v>0.71133101851851854</v>
      </c>
      <c r="K43" s="40"/>
      <c r="L43" s="40"/>
      <c r="M43" s="41"/>
      <c r="N43" s="43"/>
      <c r="O43" s="43"/>
      <c r="P43" s="44"/>
      <c r="Q43" s="26"/>
      <c r="R43" s="26"/>
      <c r="S43" s="37"/>
    </row>
    <row r="44" spans="3:19" x14ac:dyDescent="0.2">
      <c r="C44" s="75">
        <v>2</v>
      </c>
      <c r="D44" s="76" t="s">
        <v>21</v>
      </c>
      <c r="E44" s="77" t="s">
        <v>22</v>
      </c>
      <c r="F44" s="78" t="s">
        <v>22</v>
      </c>
      <c r="G44" s="39" t="s">
        <v>17</v>
      </c>
      <c r="H44" s="33">
        <v>46086</v>
      </c>
      <c r="I44" s="42">
        <v>0.32368055555555558</v>
      </c>
      <c r="J44" s="42">
        <v>0.70954861111111101</v>
      </c>
      <c r="K44" s="40"/>
      <c r="L44" s="40"/>
      <c r="M44" s="41"/>
      <c r="N44" s="43"/>
      <c r="O44" s="43"/>
      <c r="P44" s="44"/>
      <c r="Q44" s="26"/>
      <c r="R44" s="26"/>
      <c r="S44" s="37"/>
    </row>
    <row r="45" spans="3:19" x14ac:dyDescent="0.2">
      <c r="C45" s="75">
        <v>2</v>
      </c>
      <c r="D45" s="76" t="s">
        <v>21</v>
      </c>
      <c r="E45" s="77"/>
      <c r="F45" s="78"/>
      <c r="G45" s="45" t="s">
        <v>18</v>
      </c>
      <c r="H45" s="33">
        <v>46087</v>
      </c>
      <c r="I45" s="42">
        <v>0.3243287037037037</v>
      </c>
      <c r="J45" s="42">
        <v>0.70945601851851858</v>
      </c>
      <c r="K45" s="40"/>
      <c r="L45" s="40"/>
      <c r="M45" s="41"/>
      <c r="N45" s="43"/>
      <c r="O45" s="43"/>
      <c r="P45" s="44"/>
      <c r="Q45" s="26"/>
      <c r="R45" s="26"/>
      <c r="S45" s="37"/>
    </row>
    <row r="46" spans="3:19" x14ac:dyDescent="0.2">
      <c r="C46" s="75">
        <v>2</v>
      </c>
      <c r="D46" s="76" t="s">
        <v>21</v>
      </c>
      <c r="E46" s="77"/>
      <c r="F46" s="78"/>
      <c r="G46" s="39" t="s">
        <v>19</v>
      </c>
      <c r="H46" s="33">
        <v>46088</v>
      </c>
      <c r="I46" s="42">
        <v>0.33172453703703703</v>
      </c>
      <c r="J46" s="42">
        <v>0.56089120370370371</v>
      </c>
      <c r="K46" s="40"/>
      <c r="L46" s="40"/>
      <c r="M46" s="41"/>
      <c r="N46" s="43"/>
      <c r="O46" s="43"/>
      <c r="P46" s="44"/>
      <c r="Q46" s="26"/>
      <c r="R46" s="26"/>
      <c r="S46" s="37"/>
    </row>
    <row r="47" spans="3:19" x14ac:dyDescent="0.2">
      <c r="C47" s="75">
        <v>2</v>
      </c>
      <c r="D47" s="76" t="s">
        <v>21</v>
      </c>
      <c r="E47" s="77"/>
      <c r="F47" s="78"/>
      <c r="G47" s="46" t="s">
        <v>13</v>
      </c>
      <c r="H47" s="33">
        <v>46089</v>
      </c>
      <c r="I47" s="42"/>
      <c r="J47" s="42"/>
      <c r="K47" s="40"/>
      <c r="L47" s="40"/>
      <c r="M47" s="41"/>
      <c r="N47" s="43"/>
      <c r="O47" s="43"/>
      <c r="P47" s="44"/>
      <c r="Q47" s="26"/>
      <c r="R47" s="26"/>
      <c r="S47" s="37"/>
    </row>
    <row r="48" spans="3:19" x14ac:dyDescent="0.2">
      <c r="C48" s="75">
        <v>2</v>
      </c>
      <c r="D48" s="76" t="s">
        <v>21</v>
      </c>
      <c r="E48" s="77"/>
      <c r="F48" s="78"/>
      <c r="G48" s="39" t="s">
        <v>14</v>
      </c>
      <c r="H48" s="33">
        <v>46090</v>
      </c>
      <c r="I48" s="42">
        <v>0.32355324074074071</v>
      </c>
      <c r="J48" s="42">
        <v>17.024799999999999</v>
      </c>
      <c r="K48" s="40"/>
      <c r="L48" s="40"/>
      <c r="M48" s="41"/>
      <c r="N48" s="43"/>
      <c r="O48" s="43"/>
      <c r="P48" s="44"/>
      <c r="Q48" s="26"/>
      <c r="R48" s="26"/>
      <c r="S48" s="37"/>
    </row>
    <row r="49" spans="3:21" x14ac:dyDescent="0.2">
      <c r="C49" s="75">
        <v>2</v>
      </c>
      <c r="D49" s="76" t="s">
        <v>21</v>
      </c>
      <c r="E49" s="77"/>
      <c r="F49" s="78"/>
      <c r="G49" s="39" t="s">
        <v>15</v>
      </c>
      <c r="H49" s="33">
        <v>46091</v>
      </c>
      <c r="I49" s="47">
        <v>0.32674768518518521</v>
      </c>
      <c r="J49" s="42">
        <v>0.71207175925925925</v>
      </c>
      <c r="K49" s="40"/>
      <c r="L49" s="40"/>
      <c r="M49" s="41"/>
      <c r="N49" s="43"/>
      <c r="O49" s="43"/>
      <c r="P49" s="44"/>
      <c r="Q49" s="26"/>
      <c r="R49" s="26"/>
      <c r="S49" s="37"/>
    </row>
    <row r="50" spans="3:21" x14ac:dyDescent="0.2">
      <c r="C50" s="75">
        <v>2</v>
      </c>
      <c r="D50" s="76" t="s">
        <v>21</v>
      </c>
      <c r="E50" s="77"/>
      <c r="F50" s="78"/>
      <c r="G50" s="39" t="s">
        <v>16</v>
      </c>
      <c r="H50" s="33">
        <v>46092</v>
      </c>
      <c r="I50" s="47">
        <v>0.3291087962962963</v>
      </c>
      <c r="J50" s="42">
        <v>0.71458333333333324</v>
      </c>
      <c r="K50" s="40"/>
      <c r="L50" s="40"/>
      <c r="M50" s="41"/>
      <c r="N50" s="43"/>
      <c r="O50" s="43"/>
      <c r="P50" s="44"/>
      <c r="Q50" s="26"/>
      <c r="R50" s="26"/>
      <c r="S50" s="37"/>
    </row>
    <row r="51" spans="3:21" x14ac:dyDescent="0.2">
      <c r="C51" s="75">
        <v>2</v>
      </c>
      <c r="D51" s="76" t="s">
        <v>21</v>
      </c>
      <c r="E51" s="77"/>
      <c r="F51" s="78"/>
      <c r="G51" s="39" t="s">
        <v>17</v>
      </c>
      <c r="H51" s="33">
        <v>46093</v>
      </c>
      <c r="I51" s="47">
        <v>0.32695601851851852</v>
      </c>
      <c r="J51" s="42">
        <v>0.70900462962962962</v>
      </c>
      <c r="K51" s="40"/>
      <c r="L51" s="40"/>
      <c r="M51" s="41"/>
      <c r="N51" s="43"/>
      <c r="O51" s="43"/>
      <c r="P51" s="44"/>
      <c r="Q51" s="26"/>
      <c r="R51" s="26"/>
      <c r="S51" s="37"/>
    </row>
    <row r="52" spans="3:21" x14ac:dyDescent="0.2">
      <c r="C52" s="75">
        <v>2</v>
      </c>
      <c r="D52" s="76" t="s">
        <v>21</v>
      </c>
      <c r="E52" s="77"/>
      <c r="F52" s="78"/>
      <c r="G52" s="48" t="s">
        <v>18</v>
      </c>
      <c r="H52" s="33">
        <v>46094</v>
      </c>
      <c r="I52" s="42">
        <v>0.33142361111111113</v>
      </c>
      <c r="J52" s="42">
        <v>0.70901620370370377</v>
      </c>
      <c r="K52" s="40"/>
      <c r="L52" s="40"/>
      <c r="M52" s="41"/>
      <c r="N52" s="43"/>
      <c r="O52" s="43"/>
      <c r="P52" s="44"/>
      <c r="Q52" s="26"/>
      <c r="R52" s="26"/>
      <c r="S52" s="37"/>
    </row>
    <row r="53" spans="3:21" x14ac:dyDescent="0.2">
      <c r="C53" s="75">
        <v>2</v>
      </c>
      <c r="D53" s="76" t="s">
        <v>21</v>
      </c>
      <c r="E53" s="77"/>
      <c r="F53" s="78"/>
      <c r="G53" s="39" t="s">
        <v>19</v>
      </c>
      <c r="H53" s="33">
        <v>46095</v>
      </c>
      <c r="I53" s="42">
        <v>0.32991898148148152</v>
      </c>
      <c r="J53" s="42"/>
      <c r="K53" s="40"/>
      <c r="L53" s="40"/>
      <c r="M53" s="41"/>
      <c r="N53" s="43"/>
      <c r="O53" s="43"/>
      <c r="P53" s="44"/>
      <c r="Q53" s="26"/>
      <c r="R53" s="26"/>
      <c r="S53" s="37"/>
    </row>
    <row r="54" spans="3:21" x14ac:dyDescent="0.2">
      <c r="C54" s="75">
        <v>2</v>
      </c>
      <c r="D54" s="76" t="s">
        <v>21</v>
      </c>
      <c r="E54" s="77"/>
      <c r="F54" s="78"/>
      <c r="G54" s="46" t="s">
        <v>13</v>
      </c>
      <c r="H54" s="33">
        <v>46096</v>
      </c>
      <c r="I54" s="42"/>
      <c r="J54" s="42"/>
      <c r="K54" s="40"/>
      <c r="L54" s="40"/>
      <c r="M54" s="41"/>
      <c r="N54" s="43"/>
      <c r="O54" s="43"/>
      <c r="P54" s="44"/>
      <c r="Q54" s="26"/>
      <c r="R54" s="26"/>
      <c r="S54" s="37"/>
    </row>
    <row r="55" spans="3:21" x14ac:dyDescent="0.2">
      <c r="C55" s="75">
        <v>2</v>
      </c>
      <c r="D55" s="76" t="s">
        <v>21</v>
      </c>
      <c r="E55" s="77"/>
      <c r="F55" s="78"/>
      <c r="G55" s="39" t="s">
        <v>14</v>
      </c>
      <c r="H55" s="33">
        <v>46097</v>
      </c>
      <c r="I55" s="42"/>
      <c r="J55" s="42"/>
      <c r="K55" s="40"/>
      <c r="L55" s="40"/>
      <c r="M55" s="41"/>
      <c r="N55" s="43"/>
      <c r="O55" s="43"/>
      <c r="P55" s="44"/>
      <c r="Q55" s="26"/>
      <c r="R55" s="26"/>
      <c r="S55" s="37"/>
    </row>
    <row r="56" spans="3:21" x14ac:dyDescent="0.2">
      <c r="C56" s="75">
        <v>2</v>
      </c>
      <c r="D56" s="76" t="s">
        <v>21</v>
      </c>
      <c r="E56" s="77"/>
      <c r="F56" s="78"/>
      <c r="G56" s="39" t="s">
        <v>15</v>
      </c>
      <c r="H56" s="33">
        <v>46098</v>
      </c>
      <c r="I56" s="42"/>
      <c r="J56" s="42"/>
      <c r="K56" s="40"/>
      <c r="L56" s="40"/>
      <c r="M56" s="41"/>
      <c r="N56" s="43"/>
      <c r="O56" s="43"/>
      <c r="P56" s="44"/>
      <c r="Q56" s="26"/>
      <c r="R56" s="26"/>
      <c r="S56" s="37"/>
    </row>
    <row r="57" spans="3:21" x14ac:dyDescent="0.2">
      <c r="C57" s="75">
        <v>2</v>
      </c>
      <c r="D57" s="76" t="s">
        <v>21</v>
      </c>
      <c r="E57" s="77"/>
      <c r="F57" s="78"/>
      <c r="G57" s="39" t="s">
        <v>16</v>
      </c>
      <c r="H57" s="33">
        <v>46099</v>
      </c>
      <c r="I57" s="42"/>
      <c r="J57" s="42"/>
      <c r="K57" s="40"/>
      <c r="L57" s="40"/>
      <c r="M57" s="41"/>
      <c r="N57" s="43"/>
      <c r="O57" s="43"/>
      <c r="P57" s="44"/>
      <c r="Q57" s="26"/>
      <c r="R57" s="26"/>
      <c r="S57" s="37"/>
    </row>
    <row r="58" spans="3:21" x14ac:dyDescent="0.2">
      <c r="C58" s="75">
        <v>2</v>
      </c>
      <c r="D58" s="76" t="s">
        <v>21</v>
      </c>
      <c r="E58" s="77"/>
      <c r="F58" s="78"/>
      <c r="G58" s="39" t="s">
        <v>17</v>
      </c>
      <c r="H58" s="33">
        <v>46100</v>
      </c>
      <c r="I58" s="42"/>
      <c r="J58" s="42"/>
      <c r="K58" s="40"/>
      <c r="L58" s="40"/>
      <c r="M58" s="41"/>
      <c r="N58" s="43"/>
      <c r="O58" s="43"/>
      <c r="P58" s="44"/>
      <c r="Q58" s="26"/>
      <c r="R58" s="26"/>
      <c r="S58" s="37"/>
    </row>
    <row r="59" spans="3:21" x14ac:dyDescent="0.2">
      <c r="C59" s="75">
        <v>2</v>
      </c>
      <c r="D59" s="76" t="s">
        <v>21</v>
      </c>
      <c r="E59" s="77"/>
      <c r="F59" s="78"/>
      <c r="G59" s="39" t="s">
        <v>18</v>
      </c>
      <c r="H59" s="33">
        <v>46101</v>
      </c>
      <c r="I59" s="42"/>
      <c r="J59" s="42"/>
      <c r="K59" s="40"/>
      <c r="L59" s="40"/>
      <c r="M59" s="41"/>
      <c r="N59" s="43"/>
      <c r="O59" s="43"/>
      <c r="P59" s="44"/>
      <c r="Q59" s="26"/>
      <c r="R59" s="26"/>
      <c r="S59" s="37"/>
    </row>
    <row r="60" spans="3:21" x14ac:dyDescent="0.2">
      <c r="C60" s="75">
        <v>2</v>
      </c>
      <c r="D60" s="76" t="s">
        <v>21</v>
      </c>
      <c r="E60" s="77"/>
      <c r="F60" s="78"/>
      <c r="G60" s="39" t="s">
        <v>19</v>
      </c>
      <c r="H60" s="33">
        <v>46102</v>
      </c>
      <c r="I60" s="42"/>
      <c r="J60" s="42"/>
      <c r="K60" s="40"/>
      <c r="L60" s="40"/>
      <c r="M60" s="41"/>
      <c r="N60" s="43"/>
      <c r="O60" s="43"/>
      <c r="P60" s="44"/>
      <c r="Q60" s="26"/>
      <c r="R60" s="26"/>
      <c r="S60" s="37"/>
    </row>
    <row r="61" spans="3:21" x14ac:dyDescent="0.2">
      <c r="C61" s="79">
        <v>2</v>
      </c>
      <c r="D61" s="80" t="s">
        <v>21</v>
      </c>
      <c r="E61" s="81"/>
      <c r="F61" s="82"/>
      <c r="G61" s="46" t="s">
        <v>13</v>
      </c>
      <c r="H61" s="33">
        <v>46103</v>
      </c>
      <c r="I61" s="42"/>
      <c r="J61" s="42"/>
      <c r="K61" s="40"/>
      <c r="L61" s="40"/>
      <c r="M61" s="41"/>
      <c r="N61" s="43"/>
      <c r="O61" s="43"/>
      <c r="P61" s="44"/>
      <c r="Q61" s="26"/>
      <c r="R61" s="26"/>
      <c r="S61" s="37"/>
    </row>
    <row r="62" spans="3:21" x14ac:dyDescent="0.2">
      <c r="C62" s="83">
        <v>2</v>
      </c>
      <c r="D62" s="84" t="s">
        <v>21</v>
      </c>
      <c r="E62" s="85"/>
      <c r="F62" s="86"/>
      <c r="G62" s="39" t="s">
        <v>14</v>
      </c>
      <c r="H62" s="33">
        <v>46104</v>
      </c>
      <c r="I62" s="42"/>
      <c r="J62" s="42"/>
      <c r="K62" s="40"/>
      <c r="L62" s="40"/>
      <c r="M62" s="41"/>
      <c r="N62" s="43"/>
      <c r="O62" s="43"/>
      <c r="P62" s="44"/>
      <c r="Q62" s="26"/>
      <c r="R62" s="26"/>
      <c r="S62" s="37"/>
    </row>
    <row r="63" spans="3:21" x14ac:dyDescent="0.2">
      <c r="C63" s="83">
        <v>2</v>
      </c>
      <c r="D63" s="84" t="s">
        <v>21</v>
      </c>
      <c r="E63" s="85"/>
      <c r="F63" s="86"/>
      <c r="G63" s="39" t="s">
        <v>15</v>
      </c>
      <c r="H63" s="33">
        <v>46105</v>
      </c>
      <c r="I63" s="42"/>
      <c r="J63" s="42"/>
      <c r="K63" s="40"/>
      <c r="L63" s="40"/>
      <c r="M63" s="41"/>
      <c r="N63" s="43"/>
      <c r="O63" s="43"/>
      <c r="P63" s="44"/>
      <c r="Q63" s="26"/>
      <c r="R63" s="26"/>
      <c r="S63" s="37"/>
      <c r="U63" s="26"/>
    </row>
    <row r="64" spans="3:21" x14ac:dyDescent="0.2">
      <c r="C64" s="83">
        <v>2</v>
      </c>
      <c r="D64" s="84" t="s">
        <v>21</v>
      </c>
      <c r="E64" s="85"/>
      <c r="F64" s="86"/>
      <c r="G64" s="39" t="s">
        <v>16</v>
      </c>
      <c r="H64" s="33">
        <v>46106</v>
      </c>
      <c r="I64" s="42"/>
      <c r="J64" s="42"/>
      <c r="K64" s="40"/>
      <c r="L64" s="40"/>
      <c r="M64" s="41"/>
      <c r="N64" s="43"/>
      <c r="O64" s="43"/>
      <c r="P64" s="44"/>
      <c r="Q64" s="26"/>
      <c r="R64" s="26"/>
      <c r="S64" s="37"/>
      <c r="U64" s="26"/>
    </row>
    <row r="65" spans="3:19" x14ac:dyDescent="0.2">
      <c r="C65" s="83">
        <v>2</v>
      </c>
      <c r="D65" s="84" t="s">
        <v>21</v>
      </c>
      <c r="E65" s="85"/>
      <c r="F65" s="86"/>
      <c r="G65" s="39" t="s">
        <v>17</v>
      </c>
      <c r="H65" s="33">
        <v>46107</v>
      </c>
      <c r="I65" s="42"/>
      <c r="J65" s="42"/>
      <c r="K65" s="40"/>
      <c r="L65" s="40"/>
      <c r="M65" s="41"/>
      <c r="N65" s="43"/>
      <c r="O65" s="43"/>
      <c r="P65" s="44"/>
      <c r="Q65" s="26"/>
      <c r="R65" s="26"/>
      <c r="S65" s="37"/>
    </row>
    <row r="66" spans="3:19" x14ac:dyDescent="0.2">
      <c r="C66" s="83">
        <v>2</v>
      </c>
      <c r="D66" s="84" t="s">
        <v>21</v>
      </c>
      <c r="E66" s="85"/>
      <c r="F66" s="86"/>
      <c r="G66" s="39" t="s">
        <v>18</v>
      </c>
      <c r="H66" s="33">
        <v>46108</v>
      </c>
      <c r="I66" s="42"/>
      <c r="J66" s="42"/>
      <c r="K66" s="40"/>
      <c r="L66" s="40"/>
      <c r="M66" s="41"/>
      <c r="N66" s="43"/>
      <c r="O66" s="43"/>
      <c r="P66" s="44"/>
      <c r="Q66" s="26"/>
      <c r="R66" s="26"/>
      <c r="S66" s="37"/>
    </row>
    <row r="67" spans="3:19" x14ac:dyDescent="0.2">
      <c r="C67" s="83">
        <v>2</v>
      </c>
      <c r="D67" s="84" t="s">
        <v>21</v>
      </c>
      <c r="E67" s="85"/>
      <c r="F67" s="86"/>
      <c r="G67" s="39" t="s">
        <v>19</v>
      </c>
      <c r="H67" s="33">
        <v>46109</v>
      </c>
      <c r="I67" s="42"/>
      <c r="J67" s="42"/>
      <c r="K67" s="40"/>
      <c r="L67" s="40"/>
      <c r="M67" s="41"/>
      <c r="N67" s="43"/>
      <c r="O67" s="43"/>
      <c r="P67" s="44"/>
      <c r="Q67" s="26"/>
      <c r="R67" s="26"/>
      <c r="S67" s="37"/>
    </row>
    <row r="68" spans="3:19" x14ac:dyDescent="0.2">
      <c r="C68" s="83"/>
      <c r="D68" s="84"/>
      <c r="E68" s="85"/>
      <c r="F68" s="86"/>
      <c r="G68" s="46" t="s">
        <v>13</v>
      </c>
      <c r="H68" s="33">
        <v>46110</v>
      </c>
      <c r="I68" s="42"/>
      <c r="J68" s="42"/>
      <c r="K68" s="40"/>
      <c r="L68" s="40"/>
      <c r="M68" s="41"/>
      <c r="N68" s="43"/>
      <c r="O68" s="43"/>
      <c r="P68" s="44"/>
      <c r="Q68" s="26"/>
      <c r="R68" s="26"/>
      <c r="S68" s="37"/>
    </row>
    <row r="69" spans="3:19" x14ac:dyDescent="0.2">
      <c r="C69" s="83"/>
      <c r="D69" s="84"/>
      <c r="E69" s="85"/>
      <c r="F69" s="86"/>
      <c r="G69" s="39" t="s">
        <v>14</v>
      </c>
      <c r="H69" s="33">
        <v>46111</v>
      </c>
      <c r="I69" s="42"/>
      <c r="J69" s="42"/>
      <c r="K69" s="40"/>
      <c r="L69" s="40"/>
      <c r="M69" s="41"/>
      <c r="N69" s="43"/>
      <c r="O69" s="43"/>
      <c r="P69" s="44"/>
      <c r="Q69" s="26"/>
      <c r="R69" s="26"/>
      <c r="S69" s="37"/>
    </row>
    <row r="70" spans="3:19" x14ac:dyDescent="0.2">
      <c r="C70" s="83"/>
      <c r="D70" s="84"/>
      <c r="E70" s="85"/>
      <c r="F70" s="86"/>
      <c r="G70" s="39" t="s">
        <v>15</v>
      </c>
      <c r="H70" s="33">
        <v>46112</v>
      </c>
      <c r="I70" s="42"/>
      <c r="J70" s="42"/>
      <c r="K70" s="40"/>
      <c r="L70" s="40"/>
      <c r="M70" s="41"/>
      <c r="N70" s="43"/>
      <c r="O70" s="43"/>
      <c r="P70" s="44"/>
      <c r="Q70" s="26"/>
      <c r="R70" s="26"/>
      <c r="S70" s="37"/>
    </row>
    <row r="71" spans="3:19" x14ac:dyDescent="0.2">
      <c r="C71" s="87"/>
      <c r="D71" s="88"/>
      <c r="E71" s="89"/>
      <c r="F71" s="89"/>
      <c r="G71" s="90"/>
      <c r="H71" s="91"/>
      <c r="I71" s="92" t="s">
        <v>23</v>
      </c>
      <c r="J71" s="93" t="s">
        <v>20</v>
      </c>
      <c r="K71" s="94"/>
      <c r="L71" s="56"/>
      <c r="M71" s="95">
        <f>SUM(M40:M70)</f>
        <v>0</v>
      </c>
      <c r="N71" s="95">
        <f t="shared" ref="N71:O71" si="1">SUM(N40:N70)</f>
        <v>0</v>
      </c>
      <c r="O71" s="95">
        <f t="shared" si="1"/>
        <v>0</v>
      </c>
      <c r="P71" s="96"/>
      <c r="Q71" s="26"/>
      <c r="R71" s="26"/>
      <c r="S71" s="37"/>
    </row>
    <row r="72" spans="3:19" x14ac:dyDescent="0.2">
      <c r="C72" s="97"/>
      <c r="D72" s="98"/>
      <c r="E72" s="99"/>
      <c r="F72" s="99"/>
      <c r="G72" s="100"/>
      <c r="H72" s="101"/>
      <c r="I72" s="102"/>
      <c r="J72" s="102"/>
      <c r="K72" s="101"/>
      <c r="L72" s="101"/>
      <c r="M72" s="101"/>
      <c r="N72" s="103"/>
      <c r="O72" s="103"/>
      <c r="P72" s="104"/>
      <c r="Q72" s="26"/>
      <c r="R72" s="26"/>
      <c r="S72" s="37"/>
    </row>
    <row r="73" spans="3:19" x14ac:dyDescent="0.2">
      <c r="C73" s="58"/>
      <c r="D73" s="59"/>
      <c r="E73" s="60"/>
      <c r="F73" s="60"/>
      <c r="G73" s="61"/>
      <c r="H73" s="62"/>
      <c r="I73" s="63"/>
      <c r="J73" s="63"/>
      <c r="K73" s="62"/>
      <c r="L73" s="62"/>
      <c r="M73" s="62"/>
      <c r="N73" s="64"/>
      <c r="O73" s="64"/>
      <c r="P73" s="65"/>
      <c r="Q73" s="26"/>
      <c r="R73" s="26"/>
      <c r="S73" s="37"/>
    </row>
    <row r="74" spans="3:19" x14ac:dyDescent="0.2">
      <c r="C74" s="66" t="s">
        <v>1</v>
      </c>
      <c r="D74" s="67" t="s">
        <v>2</v>
      </c>
      <c r="E74" s="68" t="s">
        <v>3</v>
      </c>
      <c r="F74" s="68" t="s">
        <v>4</v>
      </c>
      <c r="G74" s="69" t="s">
        <v>5</v>
      </c>
      <c r="H74" s="68" t="s">
        <v>6</v>
      </c>
      <c r="I74" s="70" t="s">
        <v>7</v>
      </c>
      <c r="J74" s="70" t="s">
        <v>8</v>
      </c>
      <c r="K74" s="71"/>
      <c r="L74" s="72"/>
      <c r="M74" s="72" t="s">
        <v>9</v>
      </c>
      <c r="N74" s="73" t="s">
        <v>10</v>
      </c>
      <c r="O74" s="73" t="s">
        <v>11</v>
      </c>
      <c r="P74" s="74"/>
      <c r="Q74" s="26"/>
      <c r="R74" s="26"/>
      <c r="S74" s="37"/>
    </row>
    <row r="75" spans="3:19" x14ac:dyDescent="0.2">
      <c r="C75" s="105">
        <v>3</v>
      </c>
      <c r="D75" s="106" t="s">
        <v>24</v>
      </c>
      <c r="E75" s="107"/>
      <c r="F75" s="108"/>
      <c r="G75" s="32" t="s">
        <v>13</v>
      </c>
      <c r="H75" s="33">
        <v>46082</v>
      </c>
      <c r="I75" s="34"/>
      <c r="J75" s="34"/>
      <c r="K75" s="30"/>
      <c r="L75" s="30"/>
      <c r="M75" s="31"/>
      <c r="N75" s="35"/>
      <c r="O75" s="35"/>
      <c r="P75" s="36"/>
      <c r="Q75" s="26"/>
      <c r="R75" s="26"/>
      <c r="S75" s="37"/>
    </row>
    <row r="76" spans="3:19" x14ac:dyDescent="0.2">
      <c r="C76" s="105">
        <v>3</v>
      </c>
      <c r="D76" s="106" t="s">
        <v>24</v>
      </c>
      <c r="E76" s="107"/>
      <c r="F76" s="108"/>
      <c r="G76" s="29" t="s">
        <v>14</v>
      </c>
      <c r="H76" s="33">
        <v>46083</v>
      </c>
      <c r="I76" s="34">
        <v>0.31107638888888889</v>
      </c>
      <c r="J76" s="34"/>
      <c r="K76" s="30"/>
      <c r="L76" s="30"/>
      <c r="M76" s="31"/>
      <c r="N76" s="35"/>
      <c r="O76" s="35"/>
      <c r="P76" s="36"/>
      <c r="Q76" s="26"/>
      <c r="R76" s="26"/>
      <c r="S76" s="37"/>
    </row>
    <row r="77" spans="3:19" x14ac:dyDescent="0.2">
      <c r="C77" s="105">
        <v>3</v>
      </c>
      <c r="D77" s="106" t="s">
        <v>24</v>
      </c>
      <c r="E77" s="107"/>
      <c r="F77" s="108"/>
      <c r="G77" s="39" t="s">
        <v>15</v>
      </c>
      <c r="H77" s="33">
        <v>46084</v>
      </c>
      <c r="I77" s="42">
        <v>0.31891203703703702</v>
      </c>
      <c r="J77" s="42"/>
      <c r="K77" s="40"/>
      <c r="L77" s="40"/>
      <c r="M77" s="41"/>
      <c r="N77" s="43"/>
      <c r="O77" s="43"/>
      <c r="P77" s="44"/>
      <c r="Q77" s="26"/>
      <c r="R77" s="26"/>
      <c r="S77" s="37"/>
    </row>
    <row r="78" spans="3:19" x14ac:dyDescent="0.2">
      <c r="C78" s="105">
        <v>3</v>
      </c>
      <c r="D78" s="106" t="s">
        <v>24</v>
      </c>
      <c r="E78" s="107"/>
      <c r="F78" s="108"/>
      <c r="G78" s="39" t="s">
        <v>16</v>
      </c>
      <c r="H78" s="33">
        <v>46085</v>
      </c>
      <c r="I78" s="42">
        <v>0.31464120370370369</v>
      </c>
      <c r="J78" s="42"/>
      <c r="K78" s="40"/>
      <c r="L78" s="40"/>
      <c r="M78" s="41"/>
      <c r="N78" s="43"/>
      <c r="O78" s="43"/>
      <c r="P78" s="44"/>
      <c r="Q78" s="26"/>
      <c r="R78" s="26"/>
      <c r="S78" s="37"/>
    </row>
    <row r="79" spans="3:19" x14ac:dyDescent="0.2">
      <c r="C79" s="105">
        <v>3</v>
      </c>
      <c r="D79" s="106" t="s">
        <v>24</v>
      </c>
      <c r="E79" s="107"/>
      <c r="F79" s="108"/>
      <c r="G79" s="39" t="s">
        <v>17</v>
      </c>
      <c r="H79" s="33">
        <v>46086</v>
      </c>
      <c r="I79" s="42">
        <v>0.3195486111111111</v>
      </c>
      <c r="J79" s="42"/>
      <c r="K79" s="40"/>
      <c r="L79" s="40"/>
      <c r="M79" s="41"/>
      <c r="N79" s="43"/>
      <c r="O79" s="43"/>
      <c r="P79" s="44"/>
      <c r="Q79" s="26"/>
      <c r="R79" s="26"/>
      <c r="S79" s="37"/>
    </row>
    <row r="80" spans="3:19" x14ac:dyDescent="0.2">
      <c r="C80" s="105">
        <v>3</v>
      </c>
      <c r="D80" s="106" t="s">
        <v>24</v>
      </c>
      <c r="E80" s="107"/>
      <c r="F80" s="108"/>
      <c r="G80" s="45" t="s">
        <v>18</v>
      </c>
      <c r="H80" s="33">
        <v>46087</v>
      </c>
      <c r="I80" s="42">
        <v>0.3195486111111111</v>
      </c>
      <c r="J80" s="42"/>
      <c r="K80" s="40"/>
      <c r="L80" s="40"/>
      <c r="M80" s="41"/>
      <c r="N80" s="43"/>
      <c r="O80" s="43"/>
      <c r="P80" s="44"/>
      <c r="Q80" s="26"/>
      <c r="R80" s="26"/>
      <c r="S80" s="37"/>
    </row>
    <row r="81" spans="3:19" x14ac:dyDescent="0.2">
      <c r="C81" s="105">
        <v>3</v>
      </c>
      <c r="D81" s="106" t="s">
        <v>24</v>
      </c>
      <c r="E81" s="107"/>
      <c r="F81" s="108"/>
      <c r="G81" s="39" t="s">
        <v>19</v>
      </c>
      <c r="H81" s="33">
        <v>46088</v>
      </c>
      <c r="I81" s="42">
        <v>0.31462962962962965</v>
      </c>
      <c r="J81" s="42"/>
      <c r="K81" s="40"/>
      <c r="L81" s="40"/>
      <c r="M81" s="41"/>
      <c r="N81" s="43"/>
      <c r="O81" s="43"/>
      <c r="P81" s="44"/>
      <c r="Q81" s="26"/>
      <c r="R81" s="26"/>
      <c r="S81" s="37"/>
    </row>
    <row r="82" spans="3:19" x14ac:dyDescent="0.2">
      <c r="C82" s="105">
        <v>3</v>
      </c>
      <c r="D82" s="106" t="s">
        <v>24</v>
      </c>
      <c r="E82" s="107"/>
      <c r="F82" s="108"/>
      <c r="G82" s="46" t="s">
        <v>13</v>
      </c>
      <c r="H82" s="33">
        <v>46089</v>
      </c>
      <c r="I82" s="42"/>
      <c r="J82" s="42"/>
      <c r="K82" s="40"/>
      <c r="L82" s="40"/>
      <c r="M82" s="41"/>
      <c r="N82" s="43"/>
      <c r="O82" s="43"/>
      <c r="P82" s="44"/>
      <c r="Q82" s="26"/>
      <c r="R82" s="26"/>
      <c r="S82" s="37"/>
    </row>
    <row r="83" spans="3:19" x14ac:dyDescent="0.2">
      <c r="C83" s="105">
        <v>3</v>
      </c>
      <c r="D83" s="106" t="s">
        <v>24</v>
      </c>
      <c r="E83" s="107"/>
      <c r="F83" s="108"/>
      <c r="G83" s="39" t="s">
        <v>14</v>
      </c>
      <c r="H83" s="33">
        <v>46090</v>
      </c>
      <c r="I83" s="42">
        <v>0.32774305555555555</v>
      </c>
      <c r="J83" s="42"/>
      <c r="K83" s="40"/>
      <c r="L83" s="40"/>
      <c r="M83" s="41"/>
      <c r="N83" s="43"/>
      <c r="O83" s="43"/>
      <c r="P83" s="44"/>
      <c r="Q83" s="26"/>
      <c r="R83" s="26"/>
      <c r="S83" s="37"/>
    </row>
    <row r="84" spans="3:19" x14ac:dyDescent="0.2">
      <c r="C84" s="105">
        <v>3</v>
      </c>
      <c r="D84" s="106" t="s">
        <v>24</v>
      </c>
      <c r="E84" s="107"/>
      <c r="F84" s="108"/>
      <c r="G84" s="39" t="s">
        <v>15</v>
      </c>
      <c r="H84" s="33">
        <v>46091</v>
      </c>
      <c r="I84" s="47">
        <v>0.31170138888888888</v>
      </c>
      <c r="J84" s="42"/>
      <c r="K84" s="40"/>
      <c r="L84" s="40"/>
      <c r="M84" s="41"/>
      <c r="N84" s="43"/>
      <c r="O84" s="43"/>
      <c r="P84" s="44"/>
      <c r="Q84" s="26"/>
      <c r="R84" s="26"/>
      <c r="S84" s="37"/>
    </row>
    <row r="85" spans="3:19" x14ac:dyDescent="0.2">
      <c r="C85" s="105">
        <v>3</v>
      </c>
      <c r="D85" s="106" t="s">
        <v>24</v>
      </c>
      <c r="E85" s="107"/>
      <c r="F85" s="108"/>
      <c r="G85" s="39" t="s">
        <v>16</v>
      </c>
      <c r="H85" s="33">
        <v>46092</v>
      </c>
      <c r="I85" s="47">
        <v>0.31170138888888888</v>
      </c>
      <c r="J85" s="42"/>
      <c r="K85" s="40"/>
      <c r="L85" s="40"/>
      <c r="M85" s="41"/>
      <c r="N85" s="43"/>
      <c r="O85" s="43"/>
      <c r="P85" s="44"/>
      <c r="Q85" s="26"/>
      <c r="R85" s="26"/>
      <c r="S85" s="37"/>
    </row>
    <row r="86" spans="3:19" x14ac:dyDescent="0.2">
      <c r="C86" s="105">
        <v>3</v>
      </c>
      <c r="D86" s="106" t="s">
        <v>24</v>
      </c>
      <c r="E86" s="107"/>
      <c r="F86" s="108"/>
      <c r="G86" s="39" t="s">
        <v>17</v>
      </c>
      <c r="H86" s="33">
        <v>46093</v>
      </c>
      <c r="I86" s="47">
        <v>0.30589120370370371</v>
      </c>
      <c r="J86" s="42"/>
      <c r="K86" s="40"/>
      <c r="L86" s="40"/>
      <c r="M86" s="41"/>
      <c r="N86" s="43"/>
      <c r="O86" s="43"/>
      <c r="P86" s="44"/>
      <c r="Q86" s="26"/>
      <c r="R86" s="26"/>
      <c r="S86" s="37"/>
    </row>
    <row r="87" spans="3:19" x14ac:dyDescent="0.2">
      <c r="C87" s="105">
        <v>3</v>
      </c>
      <c r="D87" s="106" t="s">
        <v>24</v>
      </c>
      <c r="E87" s="107"/>
      <c r="F87" s="108"/>
      <c r="G87" s="48" t="s">
        <v>18</v>
      </c>
      <c r="H87" s="33">
        <v>46094</v>
      </c>
      <c r="I87" s="42">
        <v>0.31692129629629628</v>
      </c>
      <c r="J87" s="42"/>
      <c r="K87" s="40"/>
      <c r="L87" s="40"/>
      <c r="M87" s="41"/>
      <c r="N87" s="43"/>
      <c r="O87" s="43"/>
      <c r="P87" s="44"/>
      <c r="Q87" s="26"/>
      <c r="R87" s="26"/>
      <c r="S87" s="37"/>
    </row>
    <row r="88" spans="3:19" x14ac:dyDescent="0.2">
      <c r="C88" s="105">
        <v>3</v>
      </c>
      <c r="D88" s="106" t="s">
        <v>24</v>
      </c>
      <c r="E88" s="107"/>
      <c r="F88" s="108"/>
      <c r="G88" s="39" t="s">
        <v>19</v>
      </c>
      <c r="H88" s="33">
        <v>46095</v>
      </c>
      <c r="I88" s="42">
        <v>0.32957175925925924</v>
      </c>
      <c r="J88" s="42"/>
      <c r="K88" s="40"/>
      <c r="L88" s="40"/>
      <c r="M88" s="41"/>
      <c r="N88" s="43"/>
      <c r="O88" s="43"/>
      <c r="P88" s="44"/>
      <c r="Q88" s="26"/>
      <c r="R88" s="26"/>
      <c r="S88" s="37"/>
    </row>
    <row r="89" spans="3:19" x14ac:dyDescent="0.2">
      <c r="C89" s="105">
        <v>3</v>
      </c>
      <c r="D89" s="106" t="s">
        <v>24</v>
      </c>
      <c r="E89" s="107"/>
      <c r="F89" s="108"/>
      <c r="G89" s="46" t="s">
        <v>13</v>
      </c>
      <c r="H89" s="33">
        <v>46096</v>
      </c>
      <c r="I89" s="42"/>
      <c r="J89" s="42"/>
      <c r="K89" s="40"/>
      <c r="L89" s="40"/>
      <c r="M89" s="41"/>
      <c r="N89" s="43"/>
      <c r="O89" s="43"/>
      <c r="P89" s="44"/>
      <c r="Q89" s="26"/>
      <c r="R89" s="26"/>
      <c r="S89" s="37"/>
    </row>
    <row r="90" spans="3:19" x14ac:dyDescent="0.2">
      <c r="C90" s="105">
        <v>3</v>
      </c>
      <c r="D90" s="106" t="s">
        <v>24</v>
      </c>
      <c r="E90" s="107"/>
      <c r="F90" s="108"/>
      <c r="G90" s="39" t="s">
        <v>14</v>
      </c>
      <c r="H90" s="33">
        <v>46097</v>
      </c>
      <c r="I90" s="42"/>
      <c r="J90" s="42"/>
      <c r="K90" s="40"/>
      <c r="L90" s="40"/>
      <c r="M90" s="41"/>
      <c r="N90" s="43"/>
      <c r="O90" s="43"/>
      <c r="P90" s="44"/>
      <c r="Q90" s="26"/>
      <c r="R90" s="26"/>
      <c r="S90" s="37"/>
    </row>
    <row r="91" spans="3:19" x14ac:dyDescent="0.2">
      <c r="C91" s="105">
        <v>3</v>
      </c>
      <c r="D91" s="106" t="s">
        <v>24</v>
      </c>
      <c r="E91" s="107"/>
      <c r="F91" s="108"/>
      <c r="G91" s="39" t="s">
        <v>15</v>
      </c>
      <c r="H91" s="33">
        <v>46098</v>
      </c>
      <c r="I91" s="42"/>
      <c r="J91" s="42"/>
      <c r="K91" s="40"/>
      <c r="L91" s="40"/>
      <c r="M91" s="41"/>
      <c r="N91" s="43"/>
      <c r="O91" s="43"/>
      <c r="P91" s="44"/>
      <c r="Q91" s="26"/>
      <c r="R91" s="26"/>
      <c r="S91" s="37"/>
    </row>
    <row r="92" spans="3:19" x14ac:dyDescent="0.2">
      <c r="C92" s="105">
        <v>3</v>
      </c>
      <c r="D92" s="106" t="s">
        <v>24</v>
      </c>
      <c r="E92" s="107"/>
      <c r="F92" s="108"/>
      <c r="G92" s="39" t="s">
        <v>16</v>
      </c>
      <c r="H92" s="33">
        <v>46099</v>
      </c>
      <c r="I92" s="42"/>
      <c r="J92" s="42"/>
      <c r="K92" s="40"/>
      <c r="L92" s="40"/>
      <c r="M92" s="41"/>
      <c r="N92" s="43"/>
      <c r="O92" s="43"/>
      <c r="P92" s="44"/>
      <c r="Q92" s="26"/>
      <c r="R92" s="26"/>
      <c r="S92" s="37"/>
    </row>
    <row r="93" spans="3:19" x14ac:dyDescent="0.2">
      <c r="C93" s="105">
        <v>3</v>
      </c>
      <c r="D93" s="106" t="s">
        <v>24</v>
      </c>
      <c r="E93" s="107"/>
      <c r="F93" s="108"/>
      <c r="G93" s="39" t="s">
        <v>17</v>
      </c>
      <c r="H93" s="33">
        <v>46100</v>
      </c>
      <c r="I93" s="42"/>
      <c r="J93" s="42"/>
      <c r="K93" s="40"/>
      <c r="L93" s="40"/>
      <c r="M93" s="41"/>
      <c r="N93" s="43"/>
      <c r="O93" s="43"/>
      <c r="P93" s="44"/>
      <c r="Q93" s="26"/>
      <c r="R93" s="26"/>
      <c r="S93" s="37"/>
    </row>
    <row r="94" spans="3:19" x14ac:dyDescent="0.2">
      <c r="C94" s="105">
        <v>3</v>
      </c>
      <c r="D94" s="106" t="s">
        <v>24</v>
      </c>
      <c r="E94" s="107"/>
      <c r="F94" s="108"/>
      <c r="G94" s="39" t="s">
        <v>18</v>
      </c>
      <c r="H94" s="33">
        <v>46101</v>
      </c>
      <c r="I94" s="42"/>
      <c r="J94" s="42"/>
      <c r="K94" s="40"/>
      <c r="L94" s="40"/>
      <c r="M94" s="41"/>
      <c r="N94" s="43"/>
      <c r="O94" s="43"/>
      <c r="P94" s="44"/>
      <c r="Q94" s="26"/>
      <c r="R94" s="26"/>
      <c r="S94" s="37"/>
    </row>
    <row r="95" spans="3:19" x14ac:dyDescent="0.2">
      <c r="C95" s="105">
        <v>3</v>
      </c>
      <c r="D95" s="106" t="s">
        <v>24</v>
      </c>
      <c r="E95" s="107"/>
      <c r="F95" s="108"/>
      <c r="G95" s="39" t="s">
        <v>19</v>
      </c>
      <c r="H95" s="33">
        <v>46102</v>
      </c>
      <c r="I95" s="42"/>
      <c r="J95" s="42"/>
      <c r="K95" s="40"/>
      <c r="L95" s="40"/>
      <c r="M95" s="41"/>
      <c r="N95" s="43"/>
      <c r="O95" s="43"/>
      <c r="P95" s="44"/>
      <c r="Q95" s="26"/>
      <c r="R95" s="26"/>
      <c r="S95" s="37"/>
    </row>
    <row r="96" spans="3:19" x14ac:dyDescent="0.2">
      <c r="C96" s="105">
        <v>3</v>
      </c>
      <c r="D96" s="106" t="s">
        <v>24</v>
      </c>
      <c r="E96" s="107"/>
      <c r="F96" s="108"/>
      <c r="G96" s="46" t="s">
        <v>13</v>
      </c>
      <c r="H96" s="33">
        <v>46103</v>
      </c>
      <c r="I96" s="42"/>
      <c r="J96" s="42"/>
      <c r="K96" s="40"/>
      <c r="L96" s="40"/>
      <c r="M96" s="41"/>
      <c r="N96" s="43"/>
      <c r="O96" s="43"/>
      <c r="P96" s="44"/>
      <c r="Q96" s="26"/>
      <c r="R96" s="26"/>
      <c r="S96" s="37"/>
    </row>
    <row r="97" spans="3:19" x14ac:dyDescent="0.2">
      <c r="C97" s="105">
        <v>3</v>
      </c>
      <c r="D97" s="106" t="s">
        <v>24</v>
      </c>
      <c r="E97" s="107"/>
      <c r="F97" s="108"/>
      <c r="G97" s="39" t="s">
        <v>14</v>
      </c>
      <c r="H97" s="33">
        <v>46104</v>
      </c>
      <c r="I97" s="42"/>
      <c r="J97" s="42"/>
      <c r="K97" s="40"/>
      <c r="L97" s="40"/>
      <c r="M97" s="41"/>
      <c r="N97" s="43"/>
      <c r="O97" s="43"/>
      <c r="P97" s="44"/>
      <c r="Q97" s="26"/>
      <c r="R97" s="26"/>
      <c r="S97" s="37"/>
    </row>
    <row r="98" spans="3:19" x14ac:dyDescent="0.2">
      <c r="C98" s="105">
        <v>3</v>
      </c>
      <c r="D98" s="106" t="s">
        <v>24</v>
      </c>
      <c r="E98" s="107"/>
      <c r="F98" s="108"/>
      <c r="G98" s="39" t="s">
        <v>15</v>
      </c>
      <c r="H98" s="33">
        <v>46105</v>
      </c>
      <c r="I98" s="42"/>
      <c r="J98" s="42"/>
      <c r="K98" s="40"/>
      <c r="L98" s="40"/>
      <c r="M98" s="41"/>
      <c r="N98" s="43"/>
      <c r="O98" s="43"/>
      <c r="P98" s="44"/>
      <c r="Q98" s="26"/>
      <c r="R98" s="26"/>
      <c r="S98" s="37"/>
    </row>
    <row r="99" spans="3:19" x14ac:dyDescent="0.2">
      <c r="C99" s="105">
        <v>3</v>
      </c>
      <c r="D99" s="106" t="s">
        <v>24</v>
      </c>
      <c r="E99" s="107"/>
      <c r="F99" s="108"/>
      <c r="G99" s="39" t="s">
        <v>16</v>
      </c>
      <c r="H99" s="33">
        <v>46106</v>
      </c>
      <c r="I99" s="42"/>
      <c r="J99" s="42"/>
      <c r="K99" s="40"/>
      <c r="L99" s="40"/>
      <c r="M99" s="41"/>
      <c r="N99" s="43"/>
      <c r="O99" s="43"/>
      <c r="P99" s="44"/>
      <c r="Q99" s="26"/>
      <c r="R99" s="26"/>
      <c r="S99" s="37"/>
    </row>
    <row r="100" spans="3:19" x14ac:dyDescent="0.2">
      <c r="C100" s="105">
        <v>3</v>
      </c>
      <c r="D100" s="106" t="s">
        <v>24</v>
      </c>
      <c r="E100" s="107"/>
      <c r="F100" s="108"/>
      <c r="G100" s="39" t="s">
        <v>17</v>
      </c>
      <c r="H100" s="33">
        <v>46107</v>
      </c>
      <c r="I100" s="42"/>
      <c r="J100" s="42"/>
      <c r="K100" s="40"/>
      <c r="L100" s="40"/>
      <c r="M100" s="41"/>
      <c r="N100" s="43"/>
      <c r="O100" s="43"/>
      <c r="P100" s="44"/>
      <c r="Q100" s="26"/>
      <c r="R100" s="26"/>
      <c r="S100" s="37"/>
    </row>
    <row r="101" spans="3:19" x14ac:dyDescent="0.2">
      <c r="C101" s="105">
        <v>3</v>
      </c>
      <c r="D101" s="106" t="s">
        <v>24</v>
      </c>
      <c r="E101" s="107"/>
      <c r="F101" s="108"/>
      <c r="G101" s="39" t="s">
        <v>18</v>
      </c>
      <c r="H101" s="33">
        <v>46108</v>
      </c>
      <c r="I101" s="42"/>
      <c r="J101" s="42"/>
      <c r="K101" s="40"/>
      <c r="L101" s="40"/>
      <c r="M101" s="41"/>
      <c r="N101" s="43"/>
      <c r="O101" s="43"/>
      <c r="P101" s="44"/>
      <c r="Q101" s="26"/>
      <c r="R101" s="26"/>
      <c r="S101" s="37"/>
    </row>
    <row r="102" spans="3:19" x14ac:dyDescent="0.2">
      <c r="C102" s="105">
        <v>3</v>
      </c>
      <c r="D102" s="106" t="s">
        <v>24</v>
      </c>
      <c r="E102" s="107"/>
      <c r="F102" s="108"/>
      <c r="G102" s="39" t="s">
        <v>19</v>
      </c>
      <c r="H102" s="33">
        <v>46109</v>
      </c>
      <c r="I102" s="42"/>
      <c r="J102" s="42"/>
      <c r="K102" s="40"/>
      <c r="L102" s="40"/>
      <c r="M102" s="41"/>
      <c r="N102" s="43"/>
      <c r="O102" s="43"/>
      <c r="P102" s="44"/>
      <c r="Q102" s="26"/>
      <c r="R102" s="26"/>
      <c r="S102" s="37"/>
    </row>
    <row r="103" spans="3:19" x14ac:dyDescent="0.2">
      <c r="C103" s="105">
        <v>3</v>
      </c>
      <c r="D103" s="106" t="s">
        <v>24</v>
      </c>
      <c r="E103" s="107"/>
      <c r="F103" s="108"/>
      <c r="G103" s="46" t="s">
        <v>13</v>
      </c>
      <c r="H103" s="33">
        <v>46110</v>
      </c>
      <c r="I103" s="42"/>
      <c r="J103" s="42"/>
      <c r="K103" s="40"/>
      <c r="L103" s="40"/>
      <c r="M103" s="41"/>
      <c r="N103" s="43"/>
      <c r="O103" s="43"/>
      <c r="P103" s="44"/>
      <c r="Q103" s="26"/>
      <c r="R103" s="26"/>
      <c r="S103" s="37"/>
    </row>
    <row r="104" spans="3:19" x14ac:dyDescent="0.2">
      <c r="C104" s="105">
        <v>3</v>
      </c>
      <c r="D104" s="106" t="s">
        <v>24</v>
      </c>
      <c r="E104" s="107"/>
      <c r="F104" s="108"/>
      <c r="G104" s="39" t="s">
        <v>14</v>
      </c>
      <c r="H104" s="33">
        <v>46111</v>
      </c>
      <c r="I104" s="42"/>
      <c r="J104" s="42"/>
      <c r="K104" s="40"/>
      <c r="L104" s="40"/>
      <c r="M104" s="41"/>
      <c r="N104" s="43"/>
      <c r="O104" s="43"/>
      <c r="P104" s="44"/>
      <c r="Q104" s="26"/>
      <c r="R104" s="26"/>
      <c r="S104" s="37"/>
    </row>
    <row r="105" spans="3:19" x14ac:dyDescent="0.2">
      <c r="C105" s="105">
        <v>3</v>
      </c>
      <c r="D105" s="106" t="s">
        <v>24</v>
      </c>
      <c r="E105" s="107"/>
      <c r="F105" s="108"/>
      <c r="G105" s="39" t="s">
        <v>15</v>
      </c>
      <c r="H105" s="33">
        <v>46112</v>
      </c>
      <c r="I105" s="42"/>
      <c r="J105" s="42"/>
      <c r="K105" s="40"/>
      <c r="L105" s="40"/>
      <c r="M105" s="41"/>
      <c r="N105" s="43"/>
      <c r="O105" s="43"/>
      <c r="P105" s="44"/>
      <c r="Q105" s="26"/>
      <c r="R105" s="26"/>
      <c r="S105" s="37"/>
    </row>
    <row r="106" spans="3:19" x14ac:dyDescent="0.2">
      <c r="C106" s="109"/>
      <c r="D106" s="110"/>
      <c r="E106" s="111"/>
      <c r="F106" s="111"/>
      <c r="G106" s="112"/>
      <c r="H106" s="112"/>
      <c r="I106" s="113" t="str">
        <f>D76</f>
        <v>RAMLAN EFENDI</v>
      </c>
      <c r="J106" s="114" t="s">
        <v>20</v>
      </c>
      <c r="K106" s="115"/>
      <c r="L106" s="115"/>
      <c r="M106" s="116">
        <f>SUM(M75:M105)</f>
        <v>0</v>
      </c>
      <c r="N106" s="116">
        <f t="shared" ref="N106:O106" si="2">SUM(N75:N105)</f>
        <v>0</v>
      </c>
      <c r="O106" s="116">
        <f t="shared" si="2"/>
        <v>0</v>
      </c>
      <c r="P106" s="117"/>
      <c r="Q106" s="26"/>
      <c r="R106" s="26"/>
      <c r="S106" s="37"/>
    </row>
    <row r="107" spans="3:19" x14ac:dyDescent="0.2">
      <c r="C107" s="118"/>
      <c r="D107" s="119"/>
      <c r="E107" s="120"/>
      <c r="F107" s="120"/>
      <c r="G107" s="121"/>
      <c r="H107" s="122"/>
      <c r="I107" s="123"/>
      <c r="J107" s="123"/>
      <c r="K107" s="122"/>
      <c r="L107" s="122"/>
      <c r="M107" s="122"/>
      <c r="N107" s="124"/>
      <c r="O107" s="124"/>
      <c r="P107" s="125"/>
      <c r="Q107" s="26"/>
      <c r="R107" s="26"/>
      <c r="S107" s="37"/>
    </row>
    <row r="108" spans="3:19" x14ac:dyDescent="0.2">
      <c r="C108" s="58"/>
      <c r="D108" s="59"/>
      <c r="E108" s="60"/>
      <c r="F108" s="60"/>
      <c r="G108" s="61"/>
      <c r="H108" s="62"/>
      <c r="I108" s="63"/>
      <c r="J108" s="63"/>
      <c r="K108" s="62"/>
      <c r="L108" s="62"/>
      <c r="M108" s="62"/>
      <c r="N108" s="64"/>
      <c r="O108" s="64"/>
      <c r="P108" s="65"/>
      <c r="Q108" s="26"/>
      <c r="R108" s="26"/>
      <c r="S108" s="37"/>
    </row>
    <row r="109" spans="3:19" x14ac:dyDescent="0.2">
      <c r="C109" s="66" t="s">
        <v>1</v>
      </c>
      <c r="D109" s="67" t="s">
        <v>2</v>
      </c>
      <c r="E109" s="68" t="s">
        <v>3</v>
      </c>
      <c r="F109" s="68" t="s">
        <v>4</v>
      </c>
      <c r="G109" s="69" t="s">
        <v>5</v>
      </c>
      <c r="H109" s="68" t="s">
        <v>6</v>
      </c>
      <c r="I109" s="70" t="s">
        <v>7</v>
      </c>
      <c r="J109" s="70" t="s">
        <v>8</v>
      </c>
      <c r="K109" s="71"/>
      <c r="L109" s="72"/>
      <c r="M109" s="72" t="s">
        <v>9</v>
      </c>
      <c r="N109" s="73" t="s">
        <v>10</v>
      </c>
      <c r="O109" s="73" t="s">
        <v>11</v>
      </c>
      <c r="P109" s="74"/>
      <c r="Q109" s="26"/>
      <c r="R109" s="26"/>
      <c r="S109" s="37"/>
    </row>
    <row r="110" spans="3:19" x14ac:dyDescent="0.2">
      <c r="C110" s="126">
        <v>4</v>
      </c>
      <c r="D110" s="127" t="s">
        <v>25</v>
      </c>
      <c r="E110" s="128"/>
      <c r="F110" s="129"/>
      <c r="G110" s="32" t="s">
        <v>13</v>
      </c>
      <c r="H110" s="33">
        <v>46082</v>
      </c>
      <c r="I110" s="34"/>
      <c r="J110" s="34"/>
      <c r="K110" s="30"/>
      <c r="L110" s="30"/>
      <c r="M110" s="31"/>
      <c r="N110" s="35"/>
      <c r="O110" s="35"/>
      <c r="P110" s="36"/>
      <c r="Q110" s="26"/>
      <c r="R110" s="26"/>
      <c r="S110" s="37"/>
    </row>
    <row r="111" spans="3:19" x14ac:dyDescent="0.2">
      <c r="C111" s="126">
        <v>4</v>
      </c>
      <c r="D111" s="127" t="s">
        <v>25</v>
      </c>
      <c r="E111" s="128"/>
      <c r="F111" s="129"/>
      <c r="G111" s="29" t="s">
        <v>14</v>
      </c>
      <c r="H111" s="33">
        <v>46083</v>
      </c>
      <c r="I111" s="34">
        <v>0.33131944444444444</v>
      </c>
      <c r="J111" s="34"/>
      <c r="K111" s="30"/>
      <c r="L111" s="30"/>
      <c r="M111" s="31"/>
      <c r="N111" s="35"/>
      <c r="O111" s="35"/>
      <c r="P111" s="36"/>
      <c r="Q111" s="26"/>
      <c r="R111" s="26"/>
      <c r="S111" s="37"/>
    </row>
    <row r="112" spans="3:19" x14ac:dyDescent="0.2">
      <c r="C112" s="126">
        <v>4</v>
      </c>
      <c r="D112" s="127" t="s">
        <v>25</v>
      </c>
      <c r="E112" s="128"/>
      <c r="F112" s="129"/>
      <c r="G112" s="39" t="s">
        <v>15</v>
      </c>
      <c r="H112" s="33">
        <v>46084</v>
      </c>
      <c r="I112" s="42">
        <v>0.33211805555555557</v>
      </c>
      <c r="J112" s="42">
        <v>0.80792824074074077</v>
      </c>
      <c r="K112" s="40"/>
      <c r="L112" s="40"/>
      <c r="M112" s="41">
        <v>2</v>
      </c>
      <c r="N112" s="43"/>
      <c r="O112" s="43"/>
      <c r="P112" s="44"/>
      <c r="Q112" s="26"/>
      <c r="R112" s="26"/>
      <c r="S112" s="37"/>
    </row>
    <row r="113" spans="3:19" x14ac:dyDescent="0.2">
      <c r="C113" s="126">
        <v>4</v>
      </c>
      <c r="D113" s="127" t="s">
        <v>25</v>
      </c>
      <c r="E113" s="128"/>
      <c r="F113" s="129"/>
      <c r="G113" s="39" t="s">
        <v>16</v>
      </c>
      <c r="H113" s="33">
        <v>46085</v>
      </c>
      <c r="I113" s="42">
        <v>0.32590277777777776</v>
      </c>
      <c r="J113" s="42">
        <v>0.70960648148148142</v>
      </c>
      <c r="K113" s="40"/>
      <c r="L113" s="40"/>
      <c r="M113" s="41"/>
      <c r="N113" s="43"/>
      <c r="O113" s="43"/>
      <c r="P113" s="44"/>
      <c r="Q113" s="26"/>
      <c r="R113" s="26"/>
      <c r="S113" s="37"/>
    </row>
    <row r="114" spans="3:19" x14ac:dyDescent="0.2">
      <c r="C114" s="126">
        <v>4</v>
      </c>
      <c r="D114" s="127" t="s">
        <v>25</v>
      </c>
      <c r="E114" s="128"/>
      <c r="F114" s="129"/>
      <c r="G114" s="39" t="s">
        <v>17</v>
      </c>
      <c r="H114" s="33">
        <v>46086</v>
      </c>
      <c r="I114" s="42">
        <v>0.33067129629629627</v>
      </c>
      <c r="J114" s="42">
        <v>0.85287037037037028</v>
      </c>
      <c r="K114" s="40"/>
      <c r="L114" s="40"/>
      <c r="M114" s="41">
        <v>3</v>
      </c>
      <c r="N114" s="43"/>
      <c r="O114" s="43"/>
      <c r="P114" s="44"/>
      <c r="Q114" s="26"/>
      <c r="R114" s="26"/>
      <c r="S114" s="37"/>
    </row>
    <row r="115" spans="3:19" x14ac:dyDescent="0.2">
      <c r="C115" s="126">
        <v>4</v>
      </c>
      <c r="D115" s="127" t="s">
        <v>25</v>
      </c>
      <c r="E115" s="128"/>
      <c r="F115" s="129"/>
      <c r="G115" s="45" t="s">
        <v>18</v>
      </c>
      <c r="H115" s="33">
        <v>46087</v>
      </c>
      <c r="I115" s="42">
        <v>0.32966435185185183</v>
      </c>
      <c r="J115" s="42">
        <v>0.71535879629629628</v>
      </c>
      <c r="K115" s="40"/>
      <c r="L115" s="40"/>
      <c r="M115" s="41"/>
      <c r="N115" s="43"/>
      <c r="O115" s="43"/>
      <c r="P115" s="44"/>
      <c r="Q115" s="26"/>
      <c r="R115" s="26"/>
      <c r="S115" s="37"/>
    </row>
    <row r="116" spans="3:19" x14ac:dyDescent="0.2">
      <c r="C116" s="126">
        <v>4</v>
      </c>
      <c r="D116" s="127" t="s">
        <v>25</v>
      </c>
      <c r="E116" s="128"/>
      <c r="F116" s="129"/>
      <c r="G116" s="39" t="s">
        <v>19</v>
      </c>
      <c r="H116" s="33">
        <v>46088</v>
      </c>
      <c r="I116" s="42">
        <v>0.32427083333333334</v>
      </c>
      <c r="J116" s="42">
        <v>0.54976851851851849</v>
      </c>
      <c r="K116" s="40"/>
      <c r="L116" s="40"/>
      <c r="M116" s="41"/>
      <c r="N116" s="43"/>
      <c r="O116" s="43"/>
      <c r="P116" s="44"/>
      <c r="Q116" s="26"/>
      <c r="R116" s="26"/>
      <c r="S116" s="37"/>
    </row>
    <row r="117" spans="3:19" x14ac:dyDescent="0.2">
      <c r="C117" s="126">
        <v>4</v>
      </c>
      <c r="D117" s="127" t="s">
        <v>25</v>
      </c>
      <c r="E117" s="128"/>
      <c r="F117" s="129"/>
      <c r="G117" s="46" t="s">
        <v>13</v>
      </c>
      <c r="H117" s="33">
        <v>46089</v>
      </c>
      <c r="I117" s="42">
        <v>0.32328703703703704</v>
      </c>
      <c r="J117" s="42">
        <v>0.66805555555555562</v>
      </c>
      <c r="K117" s="40"/>
      <c r="L117" s="40"/>
      <c r="M117" s="41"/>
      <c r="N117" s="43"/>
      <c r="O117" s="43">
        <v>1</v>
      </c>
      <c r="P117" s="44"/>
      <c r="Q117" s="26"/>
      <c r="R117" s="26"/>
      <c r="S117" s="37"/>
    </row>
    <row r="118" spans="3:19" x14ac:dyDescent="0.2">
      <c r="C118" s="126">
        <v>4</v>
      </c>
      <c r="D118" s="127" t="s">
        <v>25</v>
      </c>
      <c r="E118" s="128"/>
      <c r="F118" s="129"/>
      <c r="G118" s="39" t="s">
        <v>14</v>
      </c>
      <c r="H118" s="33">
        <v>46090</v>
      </c>
      <c r="I118" s="130">
        <v>0.3430555555555555</v>
      </c>
      <c r="J118" s="42">
        <v>0.85092592592592586</v>
      </c>
      <c r="K118" s="40"/>
      <c r="L118" s="40"/>
      <c r="M118" s="41">
        <v>3</v>
      </c>
      <c r="N118" s="43"/>
      <c r="O118" s="43"/>
      <c r="P118" s="44"/>
      <c r="Q118" s="26"/>
      <c r="R118" s="26"/>
      <c r="S118" s="37"/>
    </row>
    <row r="119" spans="3:19" x14ac:dyDescent="0.2">
      <c r="C119" s="126">
        <v>4</v>
      </c>
      <c r="D119" s="127" t="s">
        <v>25</v>
      </c>
      <c r="E119" s="128"/>
      <c r="F119" s="129"/>
      <c r="G119" s="39" t="s">
        <v>15</v>
      </c>
      <c r="H119" s="33">
        <v>46091</v>
      </c>
      <c r="I119" s="47">
        <v>0.32878472222222221</v>
      </c>
      <c r="J119" s="42">
        <v>0.84475694444444438</v>
      </c>
      <c r="K119" s="40"/>
      <c r="L119" s="40"/>
      <c r="M119" s="41">
        <v>3</v>
      </c>
      <c r="N119" s="43"/>
      <c r="O119" s="43"/>
      <c r="P119" s="44"/>
      <c r="Q119" s="26"/>
      <c r="R119" s="26"/>
      <c r="S119" s="37"/>
    </row>
    <row r="120" spans="3:19" x14ac:dyDescent="0.2">
      <c r="C120" s="126">
        <v>4</v>
      </c>
      <c r="D120" s="127" t="s">
        <v>25</v>
      </c>
      <c r="E120" s="128"/>
      <c r="F120" s="129"/>
      <c r="G120" s="39" t="s">
        <v>16</v>
      </c>
      <c r="H120" s="33">
        <v>46092</v>
      </c>
      <c r="I120" s="47">
        <v>0.3230555555555556</v>
      </c>
      <c r="J120" s="42">
        <v>0.71365740740740735</v>
      </c>
      <c r="K120" s="40"/>
      <c r="L120" s="40"/>
      <c r="M120" s="41"/>
      <c r="N120" s="43"/>
      <c r="O120" s="43"/>
      <c r="P120" s="44"/>
      <c r="Q120" s="26"/>
      <c r="R120" s="26"/>
      <c r="S120" s="37"/>
    </row>
    <row r="121" spans="3:19" x14ac:dyDescent="0.2">
      <c r="C121" s="126">
        <v>4</v>
      </c>
      <c r="D121" s="127" t="s">
        <v>25</v>
      </c>
      <c r="E121" s="128"/>
      <c r="F121" s="129"/>
      <c r="G121" s="39" t="s">
        <v>17</v>
      </c>
      <c r="H121" s="33">
        <v>46093</v>
      </c>
      <c r="I121" s="131">
        <v>0.34063657407407405</v>
      </c>
      <c r="J121" s="42">
        <v>0.70881944444444445</v>
      </c>
      <c r="K121" s="40"/>
      <c r="L121" s="40"/>
      <c r="M121" s="41"/>
      <c r="N121" s="43"/>
      <c r="O121" s="43"/>
      <c r="P121" s="44"/>
      <c r="Q121" s="26"/>
      <c r="R121" s="26"/>
      <c r="S121" s="37"/>
    </row>
    <row r="122" spans="3:19" x14ac:dyDescent="0.2">
      <c r="C122" s="126">
        <v>4</v>
      </c>
      <c r="D122" s="127" t="s">
        <v>25</v>
      </c>
      <c r="E122" s="128"/>
      <c r="F122" s="129"/>
      <c r="G122" s="48" t="s">
        <v>18</v>
      </c>
      <c r="H122" s="33">
        <v>46094</v>
      </c>
      <c r="I122" s="42">
        <v>0.3283449074074074</v>
      </c>
      <c r="J122" s="42"/>
      <c r="K122" s="40"/>
      <c r="L122" s="40"/>
      <c r="M122" s="41"/>
      <c r="N122" s="43"/>
      <c r="O122" s="43"/>
      <c r="P122" s="44"/>
      <c r="Q122" s="26"/>
      <c r="R122" s="26"/>
      <c r="S122" s="37"/>
    </row>
    <row r="123" spans="3:19" x14ac:dyDescent="0.2">
      <c r="C123" s="126">
        <v>4</v>
      </c>
      <c r="D123" s="127" t="s">
        <v>25</v>
      </c>
      <c r="E123" s="128"/>
      <c r="F123" s="129"/>
      <c r="G123" s="39" t="s">
        <v>19</v>
      </c>
      <c r="H123" s="33">
        <v>46095</v>
      </c>
      <c r="I123" s="42"/>
      <c r="J123" s="42"/>
      <c r="K123" s="40"/>
      <c r="L123" s="40"/>
      <c r="M123" s="41"/>
      <c r="N123" s="43"/>
      <c r="O123" s="43"/>
      <c r="P123" s="44"/>
      <c r="Q123" s="26"/>
      <c r="R123" s="26"/>
      <c r="S123" s="37"/>
    </row>
    <row r="124" spans="3:19" x14ac:dyDescent="0.2">
      <c r="C124" s="126">
        <v>4</v>
      </c>
      <c r="D124" s="127" t="s">
        <v>25</v>
      </c>
      <c r="E124" s="128"/>
      <c r="F124" s="129"/>
      <c r="G124" s="46" t="s">
        <v>13</v>
      </c>
      <c r="H124" s="33">
        <v>46096</v>
      </c>
      <c r="I124" s="42"/>
      <c r="J124" s="42"/>
      <c r="K124" s="40"/>
      <c r="L124" s="40"/>
      <c r="M124" s="41"/>
      <c r="N124" s="43"/>
      <c r="O124" s="43"/>
      <c r="P124" s="44"/>
      <c r="Q124" s="26"/>
      <c r="R124" s="26"/>
      <c r="S124" s="37"/>
    </row>
    <row r="125" spans="3:19" x14ac:dyDescent="0.2">
      <c r="C125" s="126">
        <v>4</v>
      </c>
      <c r="D125" s="127" t="s">
        <v>25</v>
      </c>
      <c r="E125" s="128"/>
      <c r="F125" s="129"/>
      <c r="G125" s="39" t="s">
        <v>14</v>
      </c>
      <c r="H125" s="33">
        <v>46097</v>
      </c>
      <c r="I125" s="42"/>
      <c r="J125" s="42"/>
      <c r="K125" s="40"/>
      <c r="L125" s="40"/>
      <c r="M125" s="41"/>
      <c r="N125" s="43"/>
      <c r="O125" s="43"/>
      <c r="P125" s="44"/>
      <c r="Q125" s="26"/>
      <c r="R125" s="26"/>
      <c r="S125" s="37"/>
    </row>
    <row r="126" spans="3:19" x14ac:dyDescent="0.2">
      <c r="C126" s="126">
        <v>4</v>
      </c>
      <c r="D126" s="127" t="s">
        <v>25</v>
      </c>
      <c r="E126" s="128"/>
      <c r="F126" s="129"/>
      <c r="G126" s="39" t="s">
        <v>15</v>
      </c>
      <c r="H126" s="33">
        <v>46098</v>
      </c>
      <c r="I126" s="42"/>
      <c r="J126" s="42"/>
      <c r="K126" s="40"/>
      <c r="L126" s="40"/>
      <c r="M126" s="41"/>
      <c r="N126" s="43"/>
      <c r="O126" s="43"/>
      <c r="P126" s="44"/>
      <c r="Q126" s="26"/>
      <c r="R126" s="26"/>
      <c r="S126" s="37"/>
    </row>
    <row r="127" spans="3:19" x14ac:dyDescent="0.2">
      <c r="C127" s="126">
        <v>4</v>
      </c>
      <c r="D127" s="127" t="s">
        <v>25</v>
      </c>
      <c r="E127" s="128"/>
      <c r="F127" s="129"/>
      <c r="G127" s="39" t="s">
        <v>16</v>
      </c>
      <c r="H127" s="33">
        <v>46099</v>
      </c>
      <c r="I127" s="42"/>
      <c r="J127" s="42"/>
      <c r="K127" s="40"/>
      <c r="L127" s="40"/>
      <c r="M127" s="41"/>
      <c r="N127" s="43"/>
      <c r="O127" s="43"/>
      <c r="P127" s="44"/>
      <c r="Q127" s="26"/>
      <c r="R127" s="26"/>
      <c r="S127" s="37"/>
    </row>
    <row r="128" spans="3:19" x14ac:dyDescent="0.2">
      <c r="C128" s="126">
        <v>4</v>
      </c>
      <c r="D128" s="127" t="s">
        <v>25</v>
      </c>
      <c r="E128" s="128"/>
      <c r="F128" s="129"/>
      <c r="G128" s="39" t="s">
        <v>17</v>
      </c>
      <c r="H128" s="33">
        <v>46100</v>
      </c>
      <c r="I128" s="42"/>
      <c r="J128" s="42"/>
      <c r="K128" s="40"/>
      <c r="L128" s="40"/>
      <c r="M128" s="41"/>
      <c r="N128" s="43"/>
      <c r="O128" s="43"/>
      <c r="P128" s="44"/>
      <c r="Q128" s="26"/>
      <c r="R128" s="26"/>
      <c r="S128" s="37"/>
    </row>
    <row r="129" spans="3:19" x14ac:dyDescent="0.2">
      <c r="C129" s="126">
        <v>4</v>
      </c>
      <c r="D129" s="127" t="s">
        <v>25</v>
      </c>
      <c r="E129" s="128"/>
      <c r="F129" s="129"/>
      <c r="G129" s="39" t="s">
        <v>18</v>
      </c>
      <c r="H129" s="33">
        <v>46101</v>
      </c>
      <c r="I129" s="42"/>
      <c r="J129" s="42"/>
      <c r="K129" s="40"/>
      <c r="L129" s="40"/>
      <c r="M129" s="41"/>
      <c r="N129" s="43"/>
      <c r="O129" s="43"/>
      <c r="P129" s="44"/>
      <c r="Q129" s="26"/>
      <c r="R129" s="26"/>
      <c r="S129" s="37"/>
    </row>
    <row r="130" spans="3:19" x14ac:dyDescent="0.2">
      <c r="C130" s="126">
        <v>4</v>
      </c>
      <c r="D130" s="127" t="s">
        <v>25</v>
      </c>
      <c r="E130" s="128"/>
      <c r="F130" s="129"/>
      <c r="G130" s="39" t="s">
        <v>19</v>
      </c>
      <c r="H130" s="33">
        <v>46102</v>
      </c>
      <c r="I130" s="42"/>
      <c r="J130" s="42"/>
      <c r="K130" s="40"/>
      <c r="L130" s="40"/>
      <c r="M130" s="41"/>
      <c r="N130" s="43"/>
      <c r="O130" s="43"/>
      <c r="P130" s="44"/>
      <c r="Q130" s="26"/>
      <c r="R130" s="26"/>
      <c r="S130" s="37"/>
    </row>
    <row r="131" spans="3:19" x14ac:dyDescent="0.2">
      <c r="C131" s="126">
        <v>4</v>
      </c>
      <c r="D131" s="127" t="s">
        <v>25</v>
      </c>
      <c r="E131" s="128"/>
      <c r="F131" s="129"/>
      <c r="G131" s="46" t="s">
        <v>13</v>
      </c>
      <c r="H131" s="33">
        <v>46103</v>
      </c>
      <c r="I131" s="42"/>
      <c r="J131" s="42"/>
      <c r="K131" s="40"/>
      <c r="L131" s="40"/>
      <c r="M131" s="41"/>
      <c r="N131" s="43"/>
      <c r="O131" s="43"/>
      <c r="P131" s="44"/>
      <c r="Q131" s="26"/>
      <c r="R131" s="26"/>
      <c r="S131" s="37"/>
    </row>
    <row r="132" spans="3:19" x14ac:dyDescent="0.2">
      <c r="C132" s="126">
        <v>4</v>
      </c>
      <c r="D132" s="127" t="s">
        <v>25</v>
      </c>
      <c r="E132" s="128"/>
      <c r="F132" s="129"/>
      <c r="G132" s="39" t="s">
        <v>14</v>
      </c>
      <c r="H132" s="33">
        <v>46104</v>
      </c>
      <c r="I132" s="42"/>
      <c r="J132" s="42"/>
      <c r="K132" s="40"/>
      <c r="L132" s="40"/>
      <c r="M132" s="41"/>
      <c r="N132" s="43"/>
      <c r="O132" s="43"/>
      <c r="P132" s="44"/>
      <c r="Q132" s="26"/>
      <c r="R132" s="26"/>
      <c r="S132" s="37"/>
    </row>
    <row r="133" spans="3:19" x14ac:dyDescent="0.2">
      <c r="C133" s="126">
        <v>4</v>
      </c>
      <c r="D133" s="127" t="s">
        <v>25</v>
      </c>
      <c r="E133" s="128"/>
      <c r="F133" s="129"/>
      <c r="G133" s="39" t="s">
        <v>15</v>
      </c>
      <c r="H133" s="33">
        <v>46105</v>
      </c>
      <c r="I133" s="42"/>
      <c r="J133" s="42"/>
      <c r="K133" s="40"/>
      <c r="L133" s="40"/>
      <c r="M133" s="41"/>
      <c r="N133" s="43"/>
      <c r="O133" s="43"/>
      <c r="P133" s="44"/>
      <c r="Q133" s="26"/>
      <c r="R133" s="26"/>
      <c r="S133" s="37"/>
    </row>
    <row r="134" spans="3:19" x14ac:dyDescent="0.2">
      <c r="C134" s="126">
        <v>4</v>
      </c>
      <c r="D134" s="127" t="s">
        <v>25</v>
      </c>
      <c r="E134" s="128"/>
      <c r="F134" s="129"/>
      <c r="G134" s="39" t="s">
        <v>16</v>
      </c>
      <c r="H134" s="33">
        <v>46106</v>
      </c>
      <c r="I134" s="42"/>
      <c r="J134" s="42"/>
      <c r="K134" s="40"/>
      <c r="L134" s="40"/>
      <c r="M134" s="41"/>
      <c r="N134" s="43"/>
      <c r="O134" s="43"/>
      <c r="P134" s="44"/>
      <c r="Q134" s="26"/>
      <c r="R134" s="26"/>
      <c r="S134" s="37"/>
    </row>
    <row r="135" spans="3:19" x14ac:dyDescent="0.2">
      <c r="C135" s="126">
        <v>4</v>
      </c>
      <c r="D135" s="127" t="s">
        <v>25</v>
      </c>
      <c r="E135" s="128"/>
      <c r="F135" s="129"/>
      <c r="G135" s="39" t="s">
        <v>17</v>
      </c>
      <c r="H135" s="33">
        <v>46107</v>
      </c>
      <c r="I135" s="42"/>
      <c r="J135" s="42"/>
      <c r="K135" s="40"/>
      <c r="L135" s="40"/>
      <c r="M135" s="41"/>
      <c r="N135" s="43"/>
      <c r="O135" s="43"/>
      <c r="P135" s="44"/>
      <c r="Q135" s="26"/>
      <c r="R135" s="26"/>
      <c r="S135" s="37"/>
    </row>
    <row r="136" spans="3:19" x14ac:dyDescent="0.2">
      <c r="C136" s="126">
        <v>4</v>
      </c>
      <c r="D136" s="127" t="s">
        <v>25</v>
      </c>
      <c r="E136" s="128"/>
      <c r="F136" s="129"/>
      <c r="G136" s="39" t="s">
        <v>18</v>
      </c>
      <c r="H136" s="33">
        <v>46108</v>
      </c>
      <c r="I136" s="42"/>
      <c r="J136" s="42"/>
      <c r="K136" s="40"/>
      <c r="L136" s="40"/>
      <c r="M136" s="41"/>
      <c r="N136" s="43"/>
      <c r="O136" s="43"/>
      <c r="P136" s="44"/>
      <c r="Q136" s="26"/>
      <c r="R136" s="26"/>
      <c r="S136" s="37"/>
    </row>
    <row r="137" spans="3:19" x14ac:dyDescent="0.2">
      <c r="C137" s="126">
        <v>4</v>
      </c>
      <c r="D137" s="127" t="s">
        <v>25</v>
      </c>
      <c r="E137" s="128"/>
      <c r="F137" s="129"/>
      <c r="G137" s="39" t="s">
        <v>19</v>
      </c>
      <c r="H137" s="33">
        <v>46109</v>
      </c>
      <c r="I137" s="42"/>
      <c r="J137" s="42"/>
      <c r="K137" s="40"/>
      <c r="L137" s="40"/>
      <c r="M137" s="41"/>
      <c r="N137" s="43"/>
      <c r="O137" s="43"/>
      <c r="P137" s="44"/>
      <c r="Q137" s="26"/>
      <c r="R137" s="26"/>
      <c r="S137" s="37"/>
    </row>
    <row r="138" spans="3:19" x14ac:dyDescent="0.2">
      <c r="C138" s="126">
        <v>4</v>
      </c>
      <c r="D138" s="127" t="s">
        <v>25</v>
      </c>
      <c r="E138" s="128"/>
      <c r="F138" s="129"/>
      <c r="G138" s="46" t="s">
        <v>13</v>
      </c>
      <c r="H138" s="33">
        <v>46110</v>
      </c>
      <c r="I138" s="42"/>
      <c r="J138" s="42"/>
      <c r="K138" s="40"/>
      <c r="L138" s="40"/>
      <c r="M138" s="41"/>
      <c r="N138" s="43"/>
      <c r="O138" s="43"/>
      <c r="P138" s="44"/>
      <c r="Q138" s="26"/>
      <c r="R138" s="26"/>
      <c r="S138" s="37"/>
    </row>
    <row r="139" spans="3:19" x14ac:dyDescent="0.2">
      <c r="C139" s="126">
        <v>4</v>
      </c>
      <c r="D139" s="127" t="s">
        <v>25</v>
      </c>
      <c r="E139" s="128"/>
      <c r="F139" s="129"/>
      <c r="G139" s="39" t="s">
        <v>14</v>
      </c>
      <c r="H139" s="33">
        <v>46111</v>
      </c>
      <c r="I139" s="42"/>
      <c r="J139" s="42"/>
      <c r="K139" s="40"/>
      <c r="L139" s="40"/>
      <c r="M139" s="41"/>
      <c r="N139" s="43"/>
      <c r="O139" s="43"/>
      <c r="P139" s="44"/>
      <c r="Q139" s="26"/>
      <c r="R139" s="26"/>
      <c r="S139" s="37"/>
    </row>
    <row r="140" spans="3:19" x14ac:dyDescent="0.2">
      <c r="C140" s="126">
        <v>4</v>
      </c>
      <c r="D140" s="127" t="s">
        <v>25</v>
      </c>
      <c r="E140" s="128"/>
      <c r="F140" s="129"/>
      <c r="G140" s="39" t="s">
        <v>15</v>
      </c>
      <c r="H140" s="33">
        <v>46112</v>
      </c>
      <c r="I140" s="42"/>
      <c r="J140" s="42"/>
      <c r="K140" s="40"/>
      <c r="L140" s="40"/>
      <c r="M140" s="41"/>
      <c r="N140" s="43"/>
      <c r="O140" s="43"/>
      <c r="P140" s="44"/>
      <c r="Q140" s="26"/>
      <c r="R140" s="26"/>
      <c r="S140" s="37"/>
    </row>
    <row r="141" spans="3:19" x14ac:dyDescent="0.2">
      <c r="C141" s="132"/>
      <c r="D141" s="133"/>
      <c r="E141" s="134"/>
      <c r="F141" s="134"/>
      <c r="G141" s="135"/>
      <c r="H141" s="136"/>
      <c r="I141" s="137" t="s">
        <v>25</v>
      </c>
      <c r="J141" s="138" t="s">
        <v>20</v>
      </c>
      <c r="K141" s="139"/>
      <c r="L141" s="139"/>
      <c r="M141" s="140">
        <f>SUM(M110:M140)</f>
        <v>11</v>
      </c>
      <c r="N141" s="140">
        <f t="shared" ref="N141:O141" si="3">SUM(N110:N140)</f>
        <v>0</v>
      </c>
      <c r="O141" s="140">
        <f t="shared" si="3"/>
        <v>1</v>
      </c>
      <c r="P141" s="141"/>
      <c r="Q141" s="26"/>
      <c r="R141" s="26"/>
      <c r="S141" s="37"/>
    </row>
    <row r="142" spans="3:19" x14ac:dyDescent="0.2">
      <c r="C142" s="142"/>
      <c r="D142" s="143"/>
      <c r="E142" s="144"/>
      <c r="F142" s="144"/>
      <c r="G142" s="145"/>
      <c r="H142" s="146"/>
      <c r="I142" s="147"/>
      <c r="J142" s="147"/>
      <c r="K142" s="146"/>
      <c r="L142" s="146"/>
      <c r="M142" s="146"/>
      <c r="N142" s="148"/>
      <c r="O142" s="148"/>
      <c r="P142" s="149"/>
      <c r="Q142" s="26"/>
      <c r="R142" s="26"/>
      <c r="S142" s="37"/>
    </row>
    <row r="143" spans="3:19" x14ac:dyDescent="0.2">
      <c r="C143" s="58"/>
      <c r="D143" s="59"/>
      <c r="E143" s="60"/>
      <c r="F143" s="60"/>
      <c r="G143" s="61"/>
      <c r="H143" s="62"/>
      <c r="I143" s="63"/>
      <c r="J143" s="63"/>
      <c r="K143" s="62"/>
      <c r="L143" s="62"/>
      <c r="M143" s="62"/>
      <c r="N143" s="64"/>
      <c r="O143" s="64"/>
      <c r="P143" s="65"/>
      <c r="Q143" s="26"/>
      <c r="R143" s="26"/>
      <c r="S143" s="37"/>
    </row>
    <row r="144" spans="3:19" x14ac:dyDescent="0.2">
      <c r="C144" s="66" t="s">
        <v>1</v>
      </c>
      <c r="D144" s="67" t="s">
        <v>2</v>
      </c>
      <c r="E144" s="68" t="s">
        <v>3</v>
      </c>
      <c r="F144" s="68" t="s">
        <v>4</v>
      </c>
      <c r="G144" s="69" t="s">
        <v>5</v>
      </c>
      <c r="H144" s="68" t="s">
        <v>6</v>
      </c>
      <c r="I144" s="70" t="s">
        <v>7</v>
      </c>
      <c r="J144" s="70" t="s">
        <v>8</v>
      </c>
      <c r="K144" s="71"/>
      <c r="L144" s="72"/>
      <c r="M144" s="72" t="s">
        <v>9</v>
      </c>
      <c r="N144" s="73" t="s">
        <v>10</v>
      </c>
      <c r="O144" s="73" t="s">
        <v>11</v>
      </c>
      <c r="P144" s="74"/>
      <c r="Q144" s="26"/>
      <c r="R144" s="26"/>
      <c r="S144" s="37"/>
    </row>
    <row r="145" spans="3:19" x14ac:dyDescent="0.2">
      <c r="C145" s="150">
        <v>5</v>
      </c>
      <c r="D145" s="151" t="s">
        <v>26</v>
      </c>
      <c r="E145" s="152"/>
      <c r="F145" s="153"/>
      <c r="G145" s="32" t="s">
        <v>13</v>
      </c>
      <c r="H145" s="33">
        <v>46082</v>
      </c>
      <c r="I145" s="34">
        <v>0.33383101851851849</v>
      </c>
      <c r="J145" s="34">
        <v>0.66686342592592596</v>
      </c>
      <c r="K145" s="30"/>
      <c r="L145" s="30"/>
      <c r="M145" s="31"/>
      <c r="N145" s="35"/>
      <c r="O145" s="35"/>
      <c r="P145" s="36"/>
      <c r="Q145" s="26"/>
      <c r="R145" s="26"/>
      <c r="S145" s="37"/>
    </row>
    <row r="146" spans="3:19" x14ac:dyDescent="0.2">
      <c r="C146" s="150">
        <v>5</v>
      </c>
      <c r="D146" s="151" t="s">
        <v>26</v>
      </c>
      <c r="E146" s="152"/>
      <c r="F146" s="153"/>
      <c r="G146" s="29" t="s">
        <v>14</v>
      </c>
      <c r="H146" s="33">
        <v>46083</v>
      </c>
      <c r="I146" s="34">
        <v>0.33346064814814813</v>
      </c>
      <c r="J146" s="34"/>
      <c r="K146" s="30"/>
      <c r="L146" s="30"/>
      <c r="M146" s="31"/>
      <c r="N146" s="35"/>
      <c r="O146" s="35"/>
      <c r="P146" s="36"/>
      <c r="Q146" s="26"/>
      <c r="R146" s="26"/>
      <c r="S146" s="37"/>
    </row>
    <row r="147" spans="3:19" x14ac:dyDescent="0.2">
      <c r="C147" s="150">
        <v>5</v>
      </c>
      <c r="D147" s="151" t="s">
        <v>26</v>
      </c>
      <c r="E147" s="152"/>
      <c r="F147" s="153"/>
      <c r="G147" s="39" t="s">
        <v>15</v>
      </c>
      <c r="H147" s="33">
        <v>46084</v>
      </c>
      <c r="I147" s="42">
        <v>0.333125</v>
      </c>
      <c r="J147" s="42">
        <v>0.70909722222222227</v>
      </c>
      <c r="K147" s="40"/>
      <c r="L147" s="40"/>
      <c r="M147" s="41"/>
      <c r="N147" s="43"/>
      <c r="O147" s="43"/>
      <c r="P147" s="44"/>
      <c r="Q147" s="26"/>
      <c r="R147" s="26"/>
      <c r="S147" s="37"/>
    </row>
    <row r="148" spans="3:19" x14ac:dyDescent="0.2">
      <c r="C148" s="150">
        <v>5</v>
      </c>
      <c r="D148" s="151" t="s">
        <v>26</v>
      </c>
      <c r="E148" s="152"/>
      <c r="F148" s="153"/>
      <c r="G148" s="39" t="s">
        <v>16</v>
      </c>
      <c r="H148" s="33">
        <v>46085</v>
      </c>
      <c r="I148" s="42">
        <v>0.33253472222222219</v>
      </c>
      <c r="J148" s="42">
        <v>0.70884259259259252</v>
      </c>
      <c r="K148" s="40"/>
      <c r="L148" s="40"/>
      <c r="M148" s="41"/>
      <c r="N148" s="43"/>
      <c r="O148" s="43"/>
      <c r="P148" s="44"/>
      <c r="Q148" s="26"/>
      <c r="R148" s="26"/>
      <c r="S148" s="37"/>
    </row>
    <row r="149" spans="3:19" x14ac:dyDescent="0.2">
      <c r="C149" s="150">
        <v>5</v>
      </c>
      <c r="D149" s="151" t="s">
        <v>26</v>
      </c>
      <c r="E149" s="152"/>
      <c r="F149" s="153"/>
      <c r="G149" s="39" t="s">
        <v>17</v>
      </c>
      <c r="H149" s="33">
        <v>46086</v>
      </c>
      <c r="I149" s="130">
        <v>0.34217592592592588</v>
      </c>
      <c r="J149" s="42">
        <v>0.70950231481481485</v>
      </c>
      <c r="K149" s="40"/>
      <c r="L149" s="40"/>
      <c r="M149" s="41"/>
      <c r="N149" s="43"/>
      <c r="O149" s="43"/>
      <c r="P149" s="44"/>
      <c r="Q149" s="26"/>
      <c r="R149" s="26"/>
      <c r="S149" s="37"/>
    </row>
    <row r="150" spans="3:19" x14ac:dyDescent="0.2">
      <c r="C150" s="150">
        <v>5</v>
      </c>
      <c r="D150" s="151" t="s">
        <v>26</v>
      </c>
      <c r="E150" s="152"/>
      <c r="F150" s="153"/>
      <c r="G150" s="45" t="s">
        <v>18</v>
      </c>
      <c r="H150" s="33">
        <v>46087</v>
      </c>
      <c r="I150" s="42">
        <v>0.33239583333333333</v>
      </c>
      <c r="J150" s="42"/>
      <c r="K150" s="40"/>
      <c r="L150" s="40"/>
      <c r="M150" s="41"/>
      <c r="N150" s="43"/>
      <c r="O150" s="43"/>
      <c r="P150" s="44"/>
      <c r="Q150" s="26"/>
      <c r="R150" s="26"/>
      <c r="S150" s="37"/>
    </row>
    <row r="151" spans="3:19" x14ac:dyDescent="0.2">
      <c r="C151" s="150">
        <v>5</v>
      </c>
      <c r="D151" s="151" t="s">
        <v>26</v>
      </c>
      <c r="E151" s="152"/>
      <c r="F151" s="153"/>
      <c r="G151" s="39" t="s">
        <v>19</v>
      </c>
      <c r="H151" s="33">
        <v>46088</v>
      </c>
      <c r="I151" s="42">
        <v>0.33239583333333333</v>
      </c>
      <c r="J151" s="42">
        <v>0.61934027777777778</v>
      </c>
      <c r="K151" s="40"/>
      <c r="L151" s="40"/>
      <c r="M151" s="41">
        <v>3</v>
      </c>
      <c r="N151" s="43"/>
      <c r="O151" s="43"/>
      <c r="P151" s="44"/>
      <c r="Q151" s="26"/>
      <c r="R151" s="26"/>
      <c r="S151" s="37"/>
    </row>
    <row r="152" spans="3:19" x14ac:dyDescent="0.2">
      <c r="C152" s="150">
        <v>5</v>
      </c>
      <c r="D152" s="151" t="s">
        <v>26</v>
      </c>
      <c r="E152" s="152"/>
      <c r="F152" s="153"/>
      <c r="G152" s="46" t="s">
        <v>13</v>
      </c>
      <c r="H152" s="33">
        <v>46089</v>
      </c>
      <c r="I152" s="42"/>
      <c r="J152" s="42"/>
      <c r="K152" s="40"/>
      <c r="L152" s="40"/>
      <c r="M152" s="41"/>
      <c r="N152" s="43"/>
      <c r="O152" s="43"/>
      <c r="P152" s="44"/>
      <c r="Q152" s="26"/>
      <c r="R152" s="26"/>
      <c r="S152" s="37"/>
    </row>
    <row r="153" spans="3:19" x14ac:dyDescent="0.2">
      <c r="C153" s="150">
        <v>5</v>
      </c>
      <c r="D153" s="151" t="s">
        <v>26</v>
      </c>
      <c r="E153" s="152"/>
      <c r="F153" s="153"/>
      <c r="G153" s="39" t="s">
        <v>14</v>
      </c>
      <c r="H153" s="33">
        <v>46090</v>
      </c>
      <c r="I153" s="42">
        <v>0.3273726851851852</v>
      </c>
      <c r="J153" s="42">
        <v>0.71065972222222218</v>
      </c>
      <c r="K153" s="40"/>
      <c r="L153" s="40"/>
      <c r="M153" s="41"/>
      <c r="N153" s="43"/>
      <c r="O153" s="43"/>
      <c r="P153" s="44"/>
      <c r="Q153" s="26"/>
      <c r="R153" s="26"/>
      <c r="S153" s="37"/>
    </row>
    <row r="154" spans="3:19" x14ac:dyDescent="0.2">
      <c r="C154" s="150">
        <v>5</v>
      </c>
      <c r="D154" s="151" t="s">
        <v>26</v>
      </c>
      <c r="E154" s="152"/>
      <c r="F154" s="153"/>
      <c r="G154" s="39" t="s">
        <v>15</v>
      </c>
      <c r="H154" s="33">
        <v>46091</v>
      </c>
      <c r="I154" s="47">
        <v>0.33185185185185184</v>
      </c>
      <c r="J154" s="42">
        <v>0.70888888888888879</v>
      </c>
      <c r="K154" s="40"/>
      <c r="L154" s="40"/>
      <c r="M154" s="41"/>
      <c r="N154" s="43"/>
      <c r="O154" s="43"/>
      <c r="P154" s="44"/>
      <c r="Q154" s="26"/>
      <c r="R154" s="26"/>
      <c r="S154" s="37"/>
    </row>
    <row r="155" spans="3:19" x14ac:dyDescent="0.2">
      <c r="C155" s="150">
        <v>5</v>
      </c>
      <c r="D155" s="151" t="s">
        <v>26</v>
      </c>
      <c r="E155" s="152"/>
      <c r="F155" s="153"/>
      <c r="G155" s="39" t="s">
        <v>16</v>
      </c>
      <c r="H155" s="33">
        <v>46092</v>
      </c>
      <c r="I155" s="47">
        <v>0.33243055555555556</v>
      </c>
      <c r="J155" s="42">
        <v>0.72376157407407404</v>
      </c>
      <c r="K155" s="40"/>
      <c r="L155" s="40"/>
      <c r="M155" s="41"/>
      <c r="N155" s="43"/>
      <c r="O155" s="43"/>
      <c r="P155" s="44"/>
      <c r="Q155" s="26"/>
      <c r="R155" s="26"/>
      <c r="S155" s="37"/>
    </row>
    <row r="156" spans="3:19" x14ac:dyDescent="0.2">
      <c r="C156" s="150">
        <v>5</v>
      </c>
      <c r="D156" s="151" t="s">
        <v>26</v>
      </c>
      <c r="E156" s="152"/>
      <c r="F156" s="153"/>
      <c r="G156" s="39" t="s">
        <v>17</v>
      </c>
      <c r="H156" s="33">
        <v>46093</v>
      </c>
      <c r="I156" s="47">
        <v>0.30197916666666663</v>
      </c>
      <c r="J156" s="42">
        <v>0.71142361111111108</v>
      </c>
      <c r="K156" s="40"/>
      <c r="L156" s="40"/>
      <c r="M156" s="41"/>
      <c r="N156" s="43"/>
      <c r="O156" s="43"/>
      <c r="P156" s="44"/>
      <c r="Q156" s="26"/>
      <c r="R156" s="26"/>
      <c r="S156" s="37"/>
    </row>
    <row r="157" spans="3:19" x14ac:dyDescent="0.2">
      <c r="C157" s="150">
        <v>5</v>
      </c>
      <c r="D157" s="151" t="s">
        <v>26</v>
      </c>
      <c r="E157" s="152"/>
      <c r="F157" s="153"/>
      <c r="G157" s="48" t="s">
        <v>18</v>
      </c>
      <c r="H157" s="33">
        <v>46094</v>
      </c>
      <c r="I157" s="42">
        <v>0.33250000000000002</v>
      </c>
      <c r="J157" s="42">
        <v>0.92504629629629631</v>
      </c>
      <c r="K157" s="40"/>
      <c r="L157" s="40"/>
      <c r="M157" s="41">
        <v>3</v>
      </c>
      <c r="N157" s="43">
        <v>2</v>
      </c>
      <c r="O157" s="43"/>
      <c r="P157" s="44"/>
      <c r="Q157" s="26"/>
      <c r="R157" s="26"/>
      <c r="S157" s="37"/>
    </row>
    <row r="158" spans="3:19" x14ac:dyDescent="0.2">
      <c r="C158" s="150">
        <v>5</v>
      </c>
      <c r="D158" s="151" t="s">
        <v>26</v>
      </c>
      <c r="E158" s="152"/>
      <c r="F158" s="153"/>
      <c r="G158" s="39" t="s">
        <v>19</v>
      </c>
      <c r="H158" s="33">
        <v>46095</v>
      </c>
      <c r="I158" s="42">
        <v>0.33042824074074073</v>
      </c>
      <c r="J158" s="42"/>
      <c r="K158" s="40"/>
      <c r="L158" s="40"/>
      <c r="M158" s="41"/>
      <c r="N158" s="43"/>
      <c r="O158" s="43"/>
      <c r="P158" s="44"/>
      <c r="Q158" s="26"/>
      <c r="R158" s="26"/>
      <c r="S158" s="37"/>
    </row>
    <row r="159" spans="3:19" x14ac:dyDescent="0.2">
      <c r="C159" s="150">
        <v>5</v>
      </c>
      <c r="D159" s="151" t="s">
        <v>26</v>
      </c>
      <c r="E159" s="152"/>
      <c r="F159" s="153"/>
      <c r="G159" s="46" t="s">
        <v>13</v>
      </c>
      <c r="H159" s="33">
        <v>46096</v>
      </c>
      <c r="I159" s="42"/>
      <c r="J159" s="42"/>
      <c r="K159" s="40"/>
      <c r="L159" s="40"/>
      <c r="M159" s="41"/>
      <c r="N159" s="43"/>
      <c r="O159" s="43"/>
      <c r="P159" s="44"/>
      <c r="Q159" s="26"/>
      <c r="R159" s="26"/>
      <c r="S159" s="37"/>
    </row>
    <row r="160" spans="3:19" x14ac:dyDescent="0.2">
      <c r="C160" s="150">
        <v>5</v>
      </c>
      <c r="D160" s="151" t="s">
        <v>26</v>
      </c>
      <c r="E160" s="152"/>
      <c r="F160" s="153"/>
      <c r="G160" s="39" t="s">
        <v>14</v>
      </c>
      <c r="H160" s="33">
        <v>46097</v>
      </c>
      <c r="I160" s="42"/>
      <c r="J160" s="42"/>
      <c r="K160" s="40"/>
      <c r="L160" s="40"/>
      <c r="M160" s="41"/>
      <c r="N160" s="43"/>
      <c r="O160" s="43"/>
      <c r="P160" s="44"/>
      <c r="Q160" s="26"/>
      <c r="R160" s="26"/>
      <c r="S160" s="37"/>
    </row>
    <row r="161" spans="3:19" x14ac:dyDescent="0.2">
      <c r="C161" s="150">
        <v>5</v>
      </c>
      <c r="D161" s="151" t="s">
        <v>26</v>
      </c>
      <c r="E161" s="152"/>
      <c r="F161" s="153"/>
      <c r="G161" s="39" t="s">
        <v>15</v>
      </c>
      <c r="H161" s="33">
        <v>46098</v>
      </c>
      <c r="I161" s="42"/>
      <c r="J161" s="42"/>
      <c r="K161" s="40"/>
      <c r="L161" s="40"/>
      <c r="M161" s="41"/>
      <c r="N161" s="43"/>
      <c r="O161" s="43"/>
      <c r="P161" s="44"/>
      <c r="Q161" s="26"/>
      <c r="R161" s="26"/>
      <c r="S161" s="37"/>
    </row>
    <row r="162" spans="3:19" x14ac:dyDescent="0.2">
      <c r="C162" s="150">
        <v>5</v>
      </c>
      <c r="D162" s="151" t="s">
        <v>26</v>
      </c>
      <c r="E162" s="152"/>
      <c r="F162" s="153"/>
      <c r="G162" s="39" t="s">
        <v>16</v>
      </c>
      <c r="H162" s="33">
        <v>46099</v>
      </c>
      <c r="I162" s="42"/>
      <c r="J162" s="42"/>
      <c r="K162" s="40"/>
      <c r="L162" s="40"/>
      <c r="M162" s="41"/>
      <c r="N162" s="43"/>
      <c r="O162" s="43"/>
      <c r="P162" s="44"/>
      <c r="Q162" s="26"/>
      <c r="R162" s="26"/>
      <c r="S162" s="37"/>
    </row>
    <row r="163" spans="3:19" x14ac:dyDescent="0.2">
      <c r="C163" s="150">
        <v>5</v>
      </c>
      <c r="D163" s="151" t="s">
        <v>26</v>
      </c>
      <c r="E163" s="152"/>
      <c r="F163" s="153"/>
      <c r="G163" s="39" t="s">
        <v>17</v>
      </c>
      <c r="H163" s="33">
        <v>46100</v>
      </c>
      <c r="I163" s="42"/>
      <c r="J163" s="42"/>
      <c r="K163" s="40"/>
      <c r="L163" s="40"/>
      <c r="M163" s="41"/>
      <c r="N163" s="43"/>
      <c r="O163" s="43"/>
      <c r="P163" s="44"/>
      <c r="Q163" s="26"/>
      <c r="R163" s="26"/>
      <c r="S163" s="37"/>
    </row>
    <row r="164" spans="3:19" x14ac:dyDescent="0.2">
      <c r="C164" s="150">
        <v>5</v>
      </c>
      <c r="D164" s="151" t="s">
        <v>26</v>
      </c>
      <c r="E164" s="152"/>
      <c r="F164" s="153"/>
      <c r="G164" s="39" t="s">
        <v>18</v>
      </c>
      <c r="H164" s="33">
        <v>46101</v>
      </c>
      <c r="I164" s="42"/>
      <c r="J164" s="42"/>
      <c r="K164" s="40"/>
      <c r="L164" s="40"/>
      <c r="M164" s="41"/>
      <c r="N164" s="43"/>
      <c r="O164" s="43"/>
      <c r="P164" s="44"/>
      <c r="Q164" s="26"/>
      <c r="R164" s="26"/>
      <c r="S164" s="37"/>
    </row>
    <row r="165" spans="3:19" x14ac:dyDescent="0.2">
      <c r="C165" s="150">
        <v>5</v>
      </c>
      <c r="D165" s="151" t="s">
        <v>26</v>
      </c>
      <c r="E165" s="152"/>
      <c r="F165" s="153"/>
      <c r="G165" s="39" t="s">
        <v>19</v>
      </c>
      <c r="H165" s="33">
        <v>46102</v>
      </c>
      <c r="I165" s="42"/>
      <c r="J165" s="42"/>
      <c r="K165" s="40"/>
      <c r="L165" s="40"/>
      <c r="M165" s="41"/>
      <c r="N165" s="43"/>
      <c r="O165" s="43"/>
      <c r="P165" s="44"/>
      <c r="Q165" s="26"/>
      <c r="R165" s="26"/>
      <c r="S165" s="37"/>
    </row>
    <row r="166" spans="3:19" x14ac:dyDescent="0.2">
      <c r="C166" s="150">
        <v>5</v>
      </c>
      <c r="D166" s="151" t="s">
        <v>26</v>
      </c>
      <c r="E166" s="152"/>
      <c r="F166" s="153"/>
      <c r="G166" s="46" t="s">
        <v>13</v>
      </c>
      <c r="H166" s="33">
        <v>46103</v>
      </c>
      <c r="I166" s="42"/>
      <c r="J166" s="42"/>
      <c r="K166" s="40"/>
      <c r="L166" s="40"/>
      <c r="M166" s="41"/>
      <c r="N166" s="43"/>
      <c r="O166" s="43"/>
      <c r="P166" s="44"/>
      <c r="Q166" s="26"/>
      <c r="R166" s="26"/>
      <c r="S166" s="37"/>
    </row>
    <row r="167" spans="3:19" x14ac:dyDescent="0.2">
      <c r="C167" s="150">
        <v>5</v>
      </c>
      <c r="D167" s="151" t="s">
        <v>26</v>
      </c>
      <c r="E167" s="152"/>
      <c r="F167" s="153"/>
      <c r="G167" s="39" t="s">
        <v>14</v>
      </c>
      <c r="H167" s="33">
        <v>46104</v>
      </c>
      <c r="I167" s="42"/>
      <c r="J167" s="42"/>
      <c r="K167" s="40"/>
      <c r="L167" s="40"/>
      <c r="M167" s="41"/>
      <c r="N167" s="43"/>
      <c r="O167" s="43"/>
      <c r="P167" s="44"/>
      <c r="Q167" s="26"/>
      <c r="R167" s="26"/>
      <c r="S167" s="37"/>
    </row>
    <row r="168" spans="3:19" x14ac:dyDescent="0.2">
      <c r="C168" s="150">
        <v>5</v>
      </c>
      <c r="D168" s="151" t="s">
        <v>26</v>
      </c>
      <c r="E168" s="152"/>
      <c r="F168" s="153"/>
      <c r="G168" s="39" t="s">
        <v>15</v>
      </c>
      <c r="H168" s="33">
        <v>46105</v>
      </c>
      <c r="I168" s="42"/>
      <c r="J168" s="42"/>
      <c r="K168" s="40"/>
      <c r="L168" s="40"/>
      <c r="M168" s="41"/>
      <c r="N168" s="43"/>
      <c r="O168" s="43"/>
      <c r="P168" s="44"/>
      <c r="Q168" s="26"/>
      <c r="R168" s="26"/>
      <c r="S168" s="37"/>
    </row>
    <row r="169" spans="3:19" x14ac:dyDescent="0.2">
      <c r="C169" s="150">
        <v>5</v>
      </c>
      <c r="D169" s="151" t="s">
        <v>26</v>
      </c>
      <c r="E169" s="152"/>
      <c r="F169" s="153"/>
      <c r="G169" s="39" t="s">
        <v>16</v>
      </c>
      <c r="H169" s="33">
        <v>46106</v>
      </c>
      <c r="I169" s="42"/>
      <c r="J169" s="42"/>
      <c r="K169" s="40"/>
      <c r="L169" s="40"/>
      <c r="M169" s="41"/>
      <c r="N169" s="43"/>
      <c r="O169" s="43"/>
      <c r="P169" s="44"/>
      <c r="Q169" s="26"/>
      <c r="R169" s="26"/>
      <c r="S169" s="37"/>
    </row>
    <row r="170" spans="3:19" x14ac:dyDescent="0.2">
      <c r="C170" s="150">
        <v>5</v>
      </c>
      <c r="D170" s="151" t="s">
        <v>26</v>
      </c>
      <c r="E170" s="152"/>
      <c r="F170" s="153"/>
      <c r="G170" s="39" t="s">
        <v>17</v>
      </c>
      <c r="H170" s="33">
        <v>46107</v>
      </c>
      <c r="I170" s="42"/>
      <c r="J170" s="42"/>
      <c r="K170" s="40"/>
      <c r="L170" s="40"/>
      <c r="M170" s="41"/>
      <c r="N170" s="43"/>
      <c r="O170" s="43"/>
      <c r="P170" s="44"/>
      <c r="Q170" s="26"/>
      <c r="R170" s="26"/>
      <c r="S170" s="37"/>
    </row>
    <row r="171" spans="3:19" x14ac:dyDescent="0.2">
      <c r="C171" s="150">
        <v>5</v>
      </c>
      <c r="D171" s="151" t="s">
        <v>26</v>
      </c>
      <c r="E171" s="152"/>
      <c r="F171" s="153"/>
      <c r="G171" s="39" t="s">
        <v>18</v>
      </c>
      <c r="H171" s="33">
        <v>46108</v>
      </c>
      <c r="I171" s="42"/>
      <c r="J171" s="42"/>
      <c r="K171" s="40"/>
      <c r="L171" s="40"/>
      <c r="M171" s="41"/>
      <c r="N171" s="43"/>
      <c r="O171" s="43"/>
      <c r="P171" s="44"/>
      <c r="Q171" s="26"/>
      <c r="R171" s="26"/>
      <c r="S171" s="37"/>
    </row>
    <row r="172" spans="3:19" x14ac:dyDescent="0.2">
      <c r="C172" s="150">
        <v>5</v>
      </c>
      <c r="D172" s="151" t="s">
        <v>26</v>
      </c>
      <c r="E172" s="152"/>
      <c r="F172" s="153"/>
      <c r="G172" s="39" t="s">
        <v>19</v>
      </c>
      <c r="H172" s="33">
        <v>46109</v>
      </c>
      <c r="I172" s="42"/>
      <c r="J172" s="42"/>
      <c r="K172" s="40"/>
      <c r="L172" s="40"/>
      <c r="M172" s="41"/>
      <c r="N172" s="43"/>
      <c r="O172" s="43"/>
      <c r="P172" s="44"/>
      <c r="Q172" s="26"/>
      <c r="R172" s="26"/>
      <c r="S172" s="37"/>
    </row>
    <row r="173" spans="3:19" x14ac:dyDescent="0.2">
      <c r="C173" s="150">
        <v>5</v>
      </c>
      <c r="D173" s="151" t="s">
        <v>26</v>
      </c>
      <c r="E173" s="152"/>
      <c r="F173" s="153"/>
      <c r="G173" s="46" t="s">
        <v>13</v>
      </c>
      <c r="H173" s="33">
        <v>46110</v>
      </c>
      <c r="I173" s="42"/>
      <c r="J173" s="42"/>
      <c r="K173" s="40"/>
      <c r="L173" s="40"/>
      <c r="M173" s="41"/>
      <c r="N173" s="43"/>
      <c r="O173" s="43"/>
      <c r="P173" s="44"/>
      <c r="Q173" s="26"/>
      <c r="R173" s="26"/>
      <c r="S173" s="37"/>
    </row>
    <row r="174" spans="3:19" x14ac:dyDescent="0.2">
      <c r="C174" s="150">
        <v>5</v>
      </c>
      <c r="D174" s="151" t="s">
        <v>26</v>
      </c>
      <c r="E174" s="152"/>
      <c r="F174" s="153"/>
      <c r="G174" s="39" t="s">
        <v>14</v>
      </c>
      <c r="H174" s="33">
        <v>46111</v>
      </c>
      <c r="I174" s="42"/>
      <c r="J174" s="42"/>
      <c r="K174" s="40"/>
      <c r="L174" s="40"/>
      <c r="M174" s="41"/>
      <c r="N174" s="43"/>
      <c r="O174" s="43"/>
      <c r="P174" s="44"/>
      <c r="Q174" s="26"/>
      <c r="R174" s="26"/>
      <c r="S174" s="37"/>
    </row>
    <row r="175" spans="3:19" x14ac:dyDescent="0.2">
      <c r="C175" s="150">
        <v>5</v>
      </c>
      <c r="D175" s="151" t="s">
        <v>26</v>
      </c>
      <c r="E175" s="152"/>
      <c r="F175" s="153"/>
      <c r="G175" s="39" t="s">
        <v>15</v>
      </c>
      <c r="H175" s="33">
        <v>46112</v>
      </c>
      <c r="I175" s="42"/>
      <c r="J175" s="42"/>
      <c r="K175" s="40"/>
      <c r="L175" s="40"/>
      <c r="M175" s="41"/>
      <c r="N175" s="43"/>
      <c r="O175" s="43"/>
      <c r="P175" s="44"/>
      <c r="Q175" s="26"/>
      <c r="R175" s="26"/>
      <c r="S175" s="37"/>
    </row>
    <row r="176" spans="3:19" x14ac:dyDescent="0.2">
      <c r="C176" s="154"/>
      <c r="D176" s="155"/>
      <c r="E176" s="156"/>
      <c r="F176" s="156"/>
      <c r="G176" s="157"/>
      <c r="H176" s="158"/>
      <c r="I176" s="159" t="s">
        <v>26</v>
      </c>
      <c r="J176" s="160" t="s">
        <v>20</v>
      </c>
      <c r="K176" s="161"/>
      <c r="L176" s="161"/>
      <c r="M176" s="162">
        <f>SUM(M145:M175)</f>
        <v>6</v>
      </c>
      <c r="N176" s="162">
        <f t="shared" ref="N176:O176" si="4">SUM(N145:N175)</f>
        <v>2</v>
      </c>
      <c r="O176" s="162">
        <f t="shared" si="4"/>
        <v>0</v>
      </c>
      <c r="P176" s="163"/>
      <c r="Q176" s="26"/>
      <c r="R176" s="26"/>
      <c r="S176" s="37"/>
    </row>
    <row r="177" spans="3:19" x14ac:dyDescent="0.2">
      <c r="C177" s="164"/>
      <c r="D177" s="165"/>
      <c r="E177" s="166"/>
      <c r="F177" s="166"/>
      <c r="G177" s="167"/>
      <c r="H177" s="168"/>
      <c r="I177" s="169"/>
      <c r="J177" s="169"/>
      <c r="K177" s="168"/>
      <c r="L177" s="168"/>
      <c r="M177" s="168"/>
      <c r="N177" s="170"/>
      <c r="O177" s="170"/>
      <c r="P177" s="171"/>
      <c r="Q177" s="26"/>
      <c r="R177" s="26"/>
      <c r="S177" s="37"/>
    </row>
    <row r="178" spans="3:19" x14ac:dyDescent="0.2">
      <c r="C178" s="58"/>
      <c r="D178" s="59"/>
      <c r="E178" s="60"/>
      <c r="F178" s="60"/>
      <c r="G178" s="61"/>
      <c r="H178" s="62"/>
      <c r="I178" s="63"/>
      <c r="J178" s="63"/>
      <c r="K178" s="62"/>
      <c r="L178" s="62"/>
      <c r="M178" s="62"/>
      <c r="N178" s="64"/>
      <c r="O178" s="64"/>
      <c r="P178" s="65"/>
      <c r="Q178" s="26"/>
      <c r="R178" s="26"/>
      <c r="S178" s="37"/>
    </row>
    <row r="179" spans="3:19" x14ac:dyDescent="0.2">
      <c r="C179" s="66" t="s">
        <v>1</v>
      </c>
      <c r="D179" s="67" t="s">
        <v>2</v>
      </c>
      <c r="E179" s="68" t="s">
        <v>3</v>
      </c>
      <c r="F179" s="68" t="s">
        <v>4</v>
      </c>
      <c r="G179" s="69" t="s">
        <v>5</v>
      </c>
      <c r="H179" s="68" t="s">
        <v>6</v>
      </c>
      <c r="I179" s="70" t="s">
        <v>7</v>
      </c>
      <c r="J179" s="70" t="s">
        <v>8</v>
      </c>
      <c r="K179" s="71"/>
      <c r="L179" s="72"/>
      <c r="M179" s="72" t="s">
        <v>9</v>
      </c>
      <c r="N179" s="73" t="s">
        <v>10</v>
      </c>
      <c r="O179" s="73" t="s">
        <v>11</v>
      </c>
      <c r="P179" s="74"/>
      <c r="Q179" s="26"/>
      <c r="R179" s="26"/>
      <c r="S179" s="37"/>
    </row>
    <row r="180" spans="3:19" x14ac:dyDescent="0.2">
      <c r="C180" s="172">
        <v>6</v>
      </c>
      <c r="D180" s="173" t="s">
        <v>27</v>
      </c>
      <c r="E180" s="174"/>
      <c r="F180" s="175"/>
      <c r="G180" s="32" t="s">
        <v>13</v>
      </c>
      <c r="H180" s="33">
        <v>46082</v>
      </c>
      <c r="I180" s="176">
        <v>0.32873842592592589</v>
      </c>
      <c r="J180" s="177" t="s">
        <v>28</v>
      </c>
      <c r="K180" s="178"/>
      <c r="L180" s="178"/>
      <c r="M180" s="179"/>
      <c r="N180" s="180"/>
      <c r="O180" s="180">
        <v>1</v>
      </c>
      <c r="P180" s="181"/>
      <c r="Q180" s="26"/>
      <c r="R180" s="26"/>
      <c r="S180" s="37"/>
    </row>
    <row r="181" spans="3:19" x14ac:dyDescent="0.2">
      <c r="C181" s="172">
        <v>6</v>
      </c>
      <c r="D181" s="173" t="s">
        <v>27</v>
      </c>
      <c r="E181" s="174"/>
      <c r="F181" s="175"/>
      <c r="G181" s="29" t="s">
        <v>14</v>
      </c>
      <c r="H181" s="33">
        <v>46083</v>
      </c>
      <c r="I181" s="182"/>
      <c r="J181" s="177">
        <v>0.21070601851851853</v>
      </c>
      <c r="K181" s="178"/>
      <c r="L181" s="178"/>
      <c r="M181" s="179">
        <v>2</v>
      </c>
      <c r="N181" s="180"/>
      <c r="O181" s="180"/>
      <c r="P181" s="181"/>
      <c r="Q181" s="26"/>
      <c r="R181" s="26"/>
      <c r="S181" s="37"/>
    </row>
    <row r="182" spans="3:19" x14ac:dyDescent="0.2">
      <c r="C182" s="172">
        <v>6</v>
      </c>
      <c r="D182" s="173" t="s">
        <v>27</v>
      </c>
      <c r="E182" s="183" t="s">
        <v>22</v>
      </c>
      <c r="F182" s="184" t="s">
        <v>22</v>
      </c>
      <c r="G182" s="39" t="s">
        <v>15</v>
      </c>
      <c r="H182" s="33">
        <v>46084</v>
      </c>
      <c r="I182" s="185">
        <v>0.78709490740740751</v>
      </c>
      <c r="J182" s="177">
        <v>0.12552083333333333</v>
      </c>
      <c r="K182" s="178"/>
      <c r="L182" s="178"/>
      <c r="M182" s="179"/>
      <c r="N182" s="180"/>
      <c r="O182" s="180"/>
      <c r="P182" s="181"/>
      <c r="Q182" s="26"/>
      <c r="R182" s="26"/>
      <c r="S182" s="37"/>
    </row>
    <row r="183" spans="3:19" x14ac:dyDescent="0.2">
      <c r="C183" s="172">
        <v>6</v>
      </c>
      <c r="D183" s="173" t="s">
        <v>27</v>
      </c>
      <c r="E183" s="183" t="s">
        <v>22</v>
      </c>
      <c r="F183" s="184" t="s">
        <v>22</v>
      </c>
      <c r="G183" s="39" t="s">
        <v>16</v>
      </c>
      <c r="H183" s="33">
        <v>46085</v>
      </c>
      <c r="I183" s="185">
        <v>0.70489583333333339</v>
      </c>
      <c r="J183" s="177">
        <v>0.12562500000000001</v>
      </c>
      <c r="K183" s="178"/>
      <c r="L183" s="178"/>
      <c r="M183" s="179"/>
      <c r="N183" s="180"/>
      <c r="O183" s="180"/>
      <c r="P183" s="181"/>
      <c r="Q183" s="26"/>
      <c r="R183" s="26"/>
      <c r="S183" s="37"/>
    </row>
    <row r="184" spans="3:19" x14ac:dyDescent="0.2">
      <c r="C184" s="172">
        <v>6</v>
      </c>
      <c r="D184" s="173" t="s">
        <v>27</v>
      </c>
      <c r="E184" s="183" t="s">
        <v>22</v>
      </c>
      <c r="F184" s="184" t="s">
        <v>22</v>
      </c>
      <c r="G184" s="39" t="s">
        <v>17</v>
      </c>
      <c r="H184" s="33">
        <v>46086</v>
      </c>
      <c r="I184" s="185"/>
      <c r="J184" s="177">
        <v>0.12583333333333332</v>
      </c>
      <c r="K184" s="178"/>
      <c r="L184" s="178"/>
      <c r="M184" s="179"/>
      <c r="N184" s="180"/>
      <c r="O184" s="180"/>
      <c r="P184" s="181"/>
      <c r="Q184" s="26"/>
      <c r="R184" s="26"/>
      <c r="S184" s="37"/>
    </row>
    <row r="185" spans="3:19" x14ac:dyDescent="0.2">
      <c r="C185" s="172">
        <v>6</v>
      </c>
      <c r="D185" s="173" t="s">
        <v>27</v>
      </c>
      <c r="E185" s="183" t="s">
        <v>22</v>
      </c>
      <c r="F185" s="184" t="s">
        <v>22</v>
      </c>
      <c r="G185" s="45" t="s">
        <v>18</v>
      </c>
      <c r="H185" s="33">
        <v>46087</v>
      </c>
      <c r="I185" s="185">
        <v>0.70452546296296292</v>
      </c>
      <c r="J185" s="177">
        <v>4.2685185185185187E-2</v>
      </c>
      <c r="K185" s="178"/>
      <c r="L185" s="178"/>
      <c r="M185" s="179"/>
      <c r="N185" s="180"/>
      <c r="O185" s="180"/>
      <c r="P185" s="181"/>
      <c r="Q185" s="26"/>
      <c r="R185" s="26"/>
      <c r="S185" s="37"/>
    </row>
    <row r="186" spans="3:19" x14ac:dyDescent="0.2">
      <c r="C186" s="172">
        <v>6</v>
      </c>
      <c r="D186" s="173" t="s">
        <v>27</v>
      </c>
      <c r="E186" s="183" t="s">
        <v>22</v>
      </c>
      <c r="F186" s="184" t="s">
        <v>22</v>
      </c>
      <c r="G186" s="39" t="s">
        <v>19</v>
      </c>
      <c r="H186" s="33">
        <v>46088</v>
      </c>
      <c r="I186" s="185">
        <v>0.53862268518518519</v>
      </c>
      <c r="J186" s="177">
        <v>0.66672453703703705</v>
      </c>
      <c r="K186" s="178"/>
      <c r="L186" s="178"/>
      <c r="M186" s="179"/>
      <c r="N186" s="180"/>
      <c r="O186" s="180"/>
      <c r="P186" s="181"/>
      <c r="Q186" s="26"/>
      <c r="R186" s="26"/>
      <c r="S186" s="37"/>
    </row>
    <row r="187" spans="3:19" x14ac:dyDescent="0.25">
      <c r="C187" s="172">
        <v>6</v>
      </c>
      <c r="D187" s="173" t="s">
        <v>27</v>
      </c>
      <c r="E187" s="183" t="s">
        <v>22</v>
      </c>
      <c r="F187" s="184" t="s">
        <v>22</v>
      </c>
      <c r="G187" s="46" t="s">
        <v>13</v>
      </c>
      <c r="H187" s="33">
        <v>46089</v>
      </c>
      <c r="I187" s="182"/>
      <c r="K187" s="178"/>
      <c r="L187" s="178"/>
      <c r="M187" s="179"/>
      <c r="N187" s="180"/>
      <c r="O187" s="180"/>
      <c r="P187" s="181"/>
      <c r="Q187" s="26"/>
      <c r="R187" s="26"/>
      <c r="S187" s="37"/>
    </row>
    <row r="188" spans="3:19" x14ac:dyDescent="0.25">
      <c r="C188" s="172">
        <v>6</v>
      </c>
      <c r="D188" s="173" t="s">
        <v>27</v>
      </c>
      <c r="E188" s="183" t="s">
        <v>22</v>
      </c>
      <c r="F188" s="184" t="s">
        <v>22</v>
      </c>
      <c r="G188" s="39" t="s">
        <v>14</v>
      </c>
      <c r="H188" s="33">
        <v>46090</v>
      </c>
      <c r="I188" s="5">
        <v>0.33126157407407408</v>
      </c>
      <c r="J188" s="185">
        <v>0.80774305555555559</v>
      </c>
      <c r="K188" s="178"/>
      <c r="L188" s="178"/>
      <c r="M188" s="179">
        <v>2</v>
      </c>
      <c r="N188" s="180"/>
      <c r="O188" s="180"/>
      <c r="P188" s="181"/>
      <c r="Q188" s="26"/>
      <c r="R188" s="26"/>
      <c r="S188" s="37"/>
    </row>
    <row r="189" spans="3:19" x14ac:dyDescent="0.2">
      <c r="C189" s="172">
        <v>6</v>
      </c>
      <c r="D189" s="173" t="s">
        <v>27</v>
      </c>
      <c r="E189" s="183" t="s">
        <v>22</v>
      </c>
      <c r="F189" s="184" t="s">
        <v>22</v>
      </c>
      <c r="G189" s="39" t="s">
        <v>15</v>
      </c>
      <c r="H189" s="33">
        <v>46091</v>
      </c>
      <c r="I189" s="176">
        <v>0.33011574074074074</v>
      </c>
      <c r="J189" s="177">
        <v>0.80556712962962962</v>
      </c>
      <c r="K189" s="178"/>
      <c r="L189" s="178"/>
      <c r="M189" s="179">
        <v>2</v>
      </c>
      <c r="N189" s="180"/>
      <c r="O189" s="180"/>
      <c r="P189" s="181"/>
      <c r="Q189" s="26"/>
      <c r="R189" s="26"/>
      <c r="S189" s="37"/>
    </row>
    <row r="190" spans="3:19" x14ac:dyDescent="0.2">
      <c r="C190" s="172">
        <v>6</v>
      </c>
      <c r="D190" s="173" t="s">
        <v>27</v>
      </c>
      <c r="E190" s="183" t="s">
        <v>22</v>
      </c>
      <c r="F190" s="184" t="s">
        <v>22</v>
      </c>
      <c r="G190" s="39" t="s">
        <v>16</v>
      </c>
      <c r="H190" s="33">
        <v>46092</v>
      </c>
      <c r="I190" s="185">
        <v>0.32862268518518517</v>
      </c>
      <c r="J190" s="177">
        <v>0.80465277777777777</v>
      </c>
      <c r="K190" s="178"/>
      <c r="L190" s="178"/>
      <c r="M190" s="179">
        <v>2</v>
      </c>
      <c r="N190" s="180"/>
      <c r="O190" s="180"/>
      <c r="P190" s="181"/>
      <c r="Q190" s="26"/>
      <c r="R190" s="26"/>
      <c r="S190" s="37"/>
    </row>
    <row r="191" spans="3:19" x14ac:dyDescent="0.2">
      <c r="C191" s="172">
        <v>6</v>
      </c>
      <c r="D191" s="173" t="s">
        <v>27</v>
      </c>
      <c r="E191" s="183" t="s">
        <v>22</v>
      </c>
      <c r="F191" s="184" t="s">
        <v>22</v>
      </c>
      <c r="G191" s="39" t="s">
        <v>17</v>
      </c>
      <c r="H191" s="33">
        <v>46093</v>
      </c>
      <c r="I191" s="185">
        <v>0.32968749999999997</v>
      </c>
      <c r="J191" s="177">
        <v>0.70871527777777776</v>
      </c>
      <c r="K191" s="178"/>
      <c r="L191" s="178"/>
      <c r="M191" s="179"/>
      <c r="N191" s="180"/>
      <c r="O191" s="180"/>
      <c r="P191" s="181"/>
      <c r="Q191" s="26"/>
      <c r="R191" s="26"/>
      <c r="S191" s="37"/>
    </row>
    <row r="192" spans="3:19" x14ac:dyDescent="0.2">
      <c r="C192" s="172">
        <v>6</v>
      </c>
      <c r="D192" s="173" t="s">
        <v>27</v>
      </c>
      <c r="E192" s="183" t="s">
        <v>22</v>
      </c>
      <c r="F192" s="184" t="s">
        <v>22</v>
      </c>
      <c r="G192" s="186" t="s">
        <v>18</v>
      </c>
      <c r="H192" s="33">
        <v>46094</v>
      </c>
      <c r="I192" s="182">
        <v>0.34069444444444441</v>
      </c>
      <c r="J192" s="177">
        <v>0.70896990740740751</v>
      </c>
      <c r="K192" s="178"/>
      <c r="L192" s="178"/>
      <c r="M192" s="179"/>
      <c r="N192" s="180"/>
      <c r="O192" s="180"/>
      <c r="P192" s="181"/>
      <c r="Q192" s="26"/>
      <c r="R192" s="26"/>
      <c r="S192" s="37"/>
    </row>
    <row r="193" spans="3:19" x14ac:dyDescent="0.2">
      <c r="C193" s="172">
        <v>6</v>
      </c>
      <c r="D193" s="173" t="s">
        <v>27</v>
      </c>
      <c r="E193" s="183"/>
      <c r="F193" s="184"/>
      <c r="G193" s="39" t="s">
        <v>19</v>
      </c>
      <c r="H193" s="33">
        <v>46095</v>
      </c>
      <c r="I193" s="185">
        <v>0.32877314814814812</v>
      </c>
      <c r="J193" s="177"/>
      <c r="K193" s="178"/>
      <c r="L193" s="178"/>
      <c r="M193" s="179"/>
      <c r="N193" s="180"/>
      <c r="O193" s="180"/>
      <c r="P193" s="181"/>
      <c r="Q193" s="26"/>
      <c r="R193" s="26"/>
      <c r="S193" s="37"/>
    </row>
    <row r="194" spans="3:19" x14ac:dyDescent="0.2">
      <c r="C194" s="172">
        <v>6</v>
      </c>
      <c r="D194" s="173" t="s">
        <v>27</v>
      </c>
      <c r="E194" s="183"/>
      <c r="F194" s="184"/>
      <c r="G194" s="46" t="s">
        <v>13</v>
      </c>
      <c r="H194" s="33">
        <v>46096</v>
      </c>
      <c r="I194" s="185"/>
      <c r="J194" s="177"/>
      <c r="K194" s="178"/>
      <c r="L194" s="178"/>
      <c r="M194" s="179"/>
      <c r="N194" s="180"/>
      <c r="O194" s="180"/>
      <c r="P194" s="44"/>
      <c r="Q194" s="26"/>
      <c r="R194" s="26"/>
      <c r="S194" s="37"/>
    </row>
    <row r="195" spans="3:19" x14ac:dyDescent="0.2">
      <c r="C195" s="172">
        <v>6</v>
      </c>
      <c r="D195" s="173" t="s">
        <v>27</v>
      </c>
      <c r="E195" s="183"/>
      <c r="F195" s="184"/>
      <c r="G195" s="39" t="s">
        <v>14</v>
      </c>
      <c r="H195" s="33">
        <v>46097</v>
      </c>
      <c r="I195" s="182"/>
      <c r="J195" s="177"/>
      <c r="K195" s="178"/>
      <c r="L195" s="178"/>
      <c r="M195" s="179"/>
      <c r="N195" s="180"/>
      <c r="O195" s="180"/>
      <c r="P195" s="181"/>
      <c r="Q195" s="26"/>
      <c r="R195" s="26"/>
      <c r="S195" s="37"/>
    </row>
    <row r="196" spans="3:19" x14ac:dyDescent="0.2">
      <c r="C196" s="172">
        <v>6</v>
      </c>
      <c r="D196" s="173" t="s">
        <v>27</v>
      </c>
      <c r="E196" s="183"/>
      <c r="F196" s="184"/>
      <c r="G196" s="39" t="s">
        <v>15</v>
      </c>
      <c r="H196" s="33">
        <v>46098</v>
      </c>
      <c r="I196" s="182"/>
      <c r="J196" s="177"/>
      <c r="K196" s="178"/>
      <c r="L196" s="178"/>
      <c r="M196" s="179"/>
      <c r="N196" s="180"/>
      <c r="O196" s="180"/>
      <c r="P196" s="181"/>
      <c r="Q196" s="26"/>
      <c r="R196" s="26"/>
      <c r="S196" s="37"/>
    </row>
    <row r="197" spans="3:19" x14ac:dyDescent="0.2">
      <c r="C197" s="172">
        <v>6</v>
      </c>
      <c r="D197" s="173" t="s">
        <v>27</v>
      </c>
      <c r="E197" s="183"/>
      <c r="F197" s="184"/>
      <c r="G197" s="39" t="s">
        <v>16</v>
      </c>
      <c r="H197" s="33">
        <v>46099</v>
      </c>
      <c r="I197" s="176"/>
      <c r="J197" s="177"/>
      <c r="K197" s="178"/>
      <c r="L197" s="178"/>
      <c r="M197" s="179"/>
      <c r="N197" s="180"/>
      <c r="O197" s="180"/>
      <c r="P197" s="181"/>
      <c r="Q197" s="26"/>
      <c r="R197" s="26"/>
      <c r="S197" s="37"/>
    </row>
    <row r="198" spans="3:19" x14ac:dyDescent="0.2">
      <c r="C198" s="172">
        <v>6</v>
      </c>
      <c r="D198" s="173" t="s">
        <v>27</v>
      </c>
      <c r="E198" s="183"/>
      <c r="F198" s="184"/>
      <c r="G198" s="39" t="s">
        <v>17</v>
      </c>
      <c r="H198" s="33">
        <v>46100</v>
      </c>
      <c r="I198" s="176"/>
      <c r="J198" s="177"/>
      <c r="K198" s="178"/>
      <c r="L198" s="178"/>
      <c r="M198" s="179"/>
      <c r="N198" s="180"/>
      <c r="O198" s="180"/>
      <c r="P198" s="181"/>
      <c r="Q198" s="26"/>
      <c r="R198" s="26"/>
      <c r="S198" s="37"/>
    </row>
    <row r="199" spans="3:19" x14ac:dyDescent="0.2">
      <c r="C199" s="172">
        <v>6</v>
      </c>
      <c r="D199" s="173" t="s">
        <v>27</v>
      </c>
      <c r="E199" s="183"/>
      <c r="F199" s="184"/>
      <c r="G199" s="39" t="s">
        <v>18</v>
      </c>
      <c r="H199" s="33">
        <v>46101</v>
      </c>
      <c r="I199" s="185"/>
      <c r="J199" s="177"/>
      <c r="K199" s="178"/>
      <c r="L199" s="178"/>
      <c r="M199" s="179"/>
      <c r="N199" s="180"/>
      <c r="O199" s="180"/>
      <c r="P199" s="181"/>
      <c r="Q199" s="26"/>
      <c r="R199" s="26"/>
      <c r="S199" s="37"/>
    </row>
    <row r="200" spans="3:19" x14ac:dyDescent="0.2">
      <c r="C200" s="172">
        <v>6</v>
      </c>
      <c r="D200" s="173" t="s">
        <v>27</v>
      </c>
      <c r="E200" s="183"/>
      <c r="F200" s="184"/>
      <c r="G200" s="39" t="s">
        <v>19</v>
      </c>
      <c r="H200" s="33">
        <v>46102</v>
      </c>
      <c r="I200" s="185"/>
      <c r="J200" s="177"/>
      <c r="K200" s="178"/>
      <c r="L200" s="178"/>
      <c r="M200" s="179"/>
      <c r="N200" s="180"/>
      <c r="O200" s="180"/>
      <c r="P200" s="181"/>
      <c r="Q200" s="26"/>
      <c r="R200" s="26"/>
      <c r="S200" s="37"/>
    </row>
    <row r="201" spans="3:19" x14ac:dyDescent="0.2">
      <c r="C201" s="172">
        <v>6</v>
      </c>
      <c r="D201" s="173" t="s">
        <v>27</v>
      </c>
      <c r="E201" s="183"/>
      <c r="F201" s="184"/>
      <c r="G201" s="46" t="s">
        <v>13</v>
      </c>
      <c r="H201" s="33">
        <v>46103</v>
      </c>
      <c r="I201" s="185"/>
      <c r="J201" s="177"/>
      <c r="K201" s="178"/>
      <c r="L201" s="178"/>
      <c r="M201" s="179"/>
      <c r="N201" s="180"/>
      <c r="O201" s="180"/>
      <c r="P201" s="181"/>
      <c r="Q201" s="26"/>
      <c r="R201" s="26"/>
      <c r="S201" s="37"/>
    </row>
    <row r="202" spans="3:19" x14ac:dyDescent="0.2">
      <c r="C202" s="172">
        <v>6</v>
      </c>
      <c r="D202" s="173" t="s">
        <v>27</v>
      </c>
      <c r="E202" s="183"/>
      <c r="F202" s="184"/>
      <c r="G202" s="39" t="s">
        <v>14</v>
      </c>
      <c r="H202" s="33">
        <v>46104</v>
      </c>
      <c r="I202" s="176"/>
      <c r="J202" s="177"/>
      <c r="K202" s="178"/>
      <c r="L202" s="178"/>
      <c r="M202" s="179"/>
      <c r="N202" s="180"/>
      <c r="O202" s="180"/>
      <c r="P202" s="181"/>
      <c r="Q202" s="26"/>
      <c r="R202" s="26"/>
      <c r="S202" s="37"/>
    </row>
    <row r="203" spans="3:19" x14ac:dyDescent="0.2">
      <c r="C203" s="172">
        <v>6</v>
      </c>
      <c r="D203" s="173" t="s">
        <v>27</v>
      </c>
      <c r="E203" s="183"/>
      <c r="F203" s="184"/>
      <c r="G203" s="39" t="s">
        <v>15</v>
      </c>
      <c r="H203" s="33">
        <v>46105</v>
      </c>
      <c r="I203" s="185"/>
      <c r="J203" s="177"/>
      <c r="K203" s="178"/>
      <c r="L203" s="178"/>
      <c r="M203" s="179"/>
      <c r="N203" s="180"/>
      <c r="O203" s="180"/>
      <c r="P203" s="181"/>
      <c r="Q203" s="26"/>
      <c r="R203" s="26"/>
      <c r="S203" s="37"/>
    </row>
    <row r="204" spans="3:19" x14ac:dyDescent="0.2">
      <c r="C204" s="172">
        <v>6</v>
      </c>
      <c r="D204" s="173" t="s">
        <v>27</v>
      </c>
      <c r="E204" s="183"/>
      <c r="F204" s="184"/>
      <c r="G204" s="39" t="s">
        <v>16</v>
      </c>
      <c r="H204" s="33">
        <v>46106</v>
      </c>
      <c r="I204" s="185"/>
      <c r="J204" s="177"/>
      <c r="K204" s="178"/>
      <c r="L204" s="178"/>
      <c r="M204" s="179"/>
      <c r="N204" s="180"/>
      <c r="O204" s="180"/>
      <c r="P204" s="181"/>
      <c r="Q204" s="26"/>
      <c r="R204" s="26"/>
      <c r="S204" s="37"/>
    </row>
    <row r="205" spans="3:19" x14ac:dyDescent="0.2">
      <c r="C205" s="172">
        <v>6</v>
      </c>
      <c r="D205" s="173" t="s">
        <v>27</v>
      </c>
      <c r="E205" s="183"/>
      <c r="F205" s="184"/>
      <c r="G205" s="39" t="s">
        <v>17</v>
      </c>
      <c r="H205" s="33">
        <v>46107</v>
      </c>
      <c r="I205" s="176"/>
      <c r="J205" s="177"/>
      <c r="K205" s="178"/>
      <c r="L205" s="178"/>
      <c r="M205" s="179"/>
      <c r="N205" s="180"/>
      <c r="O205" s="180"/>
      <c r="P205" s="181"/>
      <c r="Q205" s="26"/>
      <c r="R205" s="26"/>
      <c r="S205" s="37"/>
    </row>
    <row r="206" spans="3:19" x14ac:dyDescent="0.2">
      <c r="C206" s="172">
        <v>6</v>
      </c>
      <c r="D206" s="173" t="s">
        <v>27</v>
      </c>
      <c r="E206" s="183"/>
      <c r="F206" s="184"/>
      <c r="G206" s="39" t="s">
        <v>18</v>
      </c>
      <c r="H206" s="33">
        <v>46108</v>
      </c>
      <c r="I206" s="185"/>
      <c r="J206" s="177"/>
      <c r="K206" s="178"/>
      <c r="L206" s="178"/>
      <c r="M206" s="179"/>
      <c r="N206" s="180"/>
      <c r="O206" s="180"/>
      <c r="P206" s="181"/>
      <c r="Q206" s="26"/>
      <c r="R206" s="26"/>
      <c r="S206" s="37"/>
    </row>
    <row r="207" spans="3:19" x14ac:dyDescent="0.2">
      <c r="C207" s="172"/>
      <c r="D207" s="173" t="s">
        <v>27</v>
      </c>
      <c r="E207" s="183"/>
      <c r="F207" s="184"/>
      <c r="G207" s="39" t="s">
        <v>19</v>
      </c>
      <c r="H207" s="33">
        <v>46109</v>
      </c>
      <c r="I207" s="185"/>
      <c r="J207" s="177"/>
      <c r="K207" s="178"/>
      <c r="L207" s="178"/>
      <c r="M207" s="179"/>
      <c r="N207" s="180"/>
      <c r="O207" s="180"/>
      <c r="P207" s="181"/>
      <c r="Q207" s="26"/>
      <c r="R207" s="26"/>
      <c r="S207" s="37"/>
    </row>
    <row r="208" spans="3:19" x14ac:dyDescent="0.2">
      <c r="C208" s="172">
        <v>6</v>
      </c>
      <c r="D208" s="173" t="s">
        <v>27</v>
      </c>
      <c r="E208" s="183"/>
      <c r="F208" s="184"/>
      <c r="G208" s="39" t="s">
        <v>19</v>
      </c>
      <c r="H208" s="33">
        <v>46081</v>
      </c>
      <c r="I208" s="177"/>
      <c r="J208" s="177"/>
      <c r="K208" s="183"/>
      <c r="L208" s="178"/>
      <c r="M208" s="179"/>
      <c r="N208" s="180"/>
      <c r="O208" s="180"/>
      <c r="P208" s="187"/>
      <c r="Q208" s="26"/>
      <c r="R208" s="26"/>
      <c r="S208" s="37"/>
    </row>
    <row r="209" spans="3:19" x14ac:dyDescent="0.2">
      <c r="C209" s="188"/>
      <c r="D209" s="189"/>
      <c r="E209" s="190"/>
      <c r="F209" s="190"/>
      <c r="G209" s="191"/>
      <c r="H209" s="192"/>
      <c r="I209" s="193" t="s">
        <v>27</v>
      </c>
      <c r="J209" s="194" t="s">
        <v>20</v>
      </c>
      <c r="K209" s="195"/>
      <c r="L209" s="195"/>
      <c r="M209" s="196">
        <f>SUM(M180:M208)</f>
        <v>8</v>
      </c>
      <c r="N209" s="196">
        <f t="shared" ref="N209:O209" si="5">SUM(N180:N208)</f>
        <v>0</v>
      </c>
      <c r="O209" s="196">
        <f t="shared" si="5"/>
        <v>1</v>
      </c>
      <c r="P209" s="197"/>
      <c r="Q209" s="26"/>
      <c r="R209" s="26"/>
      <c r="S209" s="37"/>
    </row>
    <row r="210" spans="3:19" x14ac:dyDescent="0.2">
      <c r="C210" s="58"/>
      <c r="D210" s="59"/>
      <c r="E210" s="60"/>
      <c r="F210" s="60"/>
      <c r="G210" s="61"/>
      <c r="H210" s="62"/>
      <c r="I210" s="63"/>
      <c r="J210" s="63"/>
      <c r="K210" s="62"/>
      <c r="L210" s="62"/>
      <c r="M210" s="62"/>
      <c r="N210" s="64"/>
      <c r="O210" s="64"/>
      <c r="P210" s="65"/>
      <c r="Q210" s="26"/>
      <c r="R210" s="26"/>
      <c r="S210" s="37"/>
    </row>
    <row r="211" spans="3:19" x14ac:dyDescent="0.2">
      <c r="C211" s="66" t="s">
        <v>1</v>
      </c>
      <c r="D211" s="67" t="s">
        <v>2</v>
      </c>
      <c r="E211" s="68" t="s">
        <v>3</v>
      </c>
      <c r="F211" s="68" t="s">
        <v>4</v>
      </c>
      <c r="G211" s="69" t="s">
        <v>5</v>
      </c>
      <c r="H211" s="68" t="s">
        <v>6</v>
      </c>
      <c r="I211" s="70" t="s">
        <v>7</v>
      </c>
      <c r="J211" s="70" t="s">
        <v>8</v>
      </c>
      <c r="K211" s="71"/>
      <c r="L211" s="72"/>
      <c r="M211" s="72" t="s">
        <v>9</v>
      </c>
      <c r="N211" s="73" t="s">
        <v>10</v>
      </c>
      <c r="O211" s="73" t="s">
        <v>11</v>
      </c>
      <c r="P211" s="198"/>
      <c r="Q211" s="26"/>
      <c r="R211" s="26"/>
      <c r="S211" s="37"/>
    </row>
    <row r="212" spans="3:19" x14ac:dyDescent="0.2">
      <c r="C212" s="172">
        <v>7</v>
      </c>
      <c r="D212" s="173" t="s">
        <v>29</v>
      </c>
      <c r="E212" s="183"/>
      <c r="F212" s="184"/>
      <c r="G212" s="32" t="s">
        <v>13</v>
      </c>
      <c r="H212" s="33">
        <v>46082</v>
      </c>
      <c r="I212" s="182"/>
      <c r="J212" s="177"/>
      <c r="K212" s="178"/>
      <c r="L212" s="178"/>
      <c r="M212" s="179"/>
      <c r="N212" s="180"/>
      <c r="O212" s="180"/>
      <c r="P212" s="181"/>
      <c r="Q212" s="26"/>
      <c r="R212" s="26"/>
      <c r="S212" s="37"/>
    </row>
    <row r="213" spans="3:19" x14ac:dyDescent="0.2">
      <c r="C213" s="172">
        <v>7</v>
      </c>
      <c r="D213" s="173" t="s">
        <v>29</v>
      </c>
      <c r="E213" s="183"/>
      <c r="F213" s="184"/>
      <c r="G213" s="29" t="s">
        <v>14</v>
      </c>
      <c r="H213" s="33">
        <v>46083</v>
      </c>
      <c r="I213" s="176">
        <v>0.33322916666666669</v>
      </c>
      <c r="J213" s="177"/>
      <c r="K213" s="178"/>
      <c r="L213" s="178"/>
      <c r="M213" s="179"/>
      <c r="N213" s="180"/>
      <c r="O213" s="180"/>
      <c r="P213" s="181"/>
      <c r="Q213" s="26"/>
      <c r="R213" s="26"/>
      <c r="S213" s="37"/>
    </row>
    <row r="214" spans="3:19" x14ac:dyDescent="0.2">
      <c r="C214" s="172">
        <v>7</v>
      </c>
      <c r="D214" s="173" t="s">
        <v>29</v>
      </c>
      <c r="E214" s="183"/>
      <c r="F214" s="184"/>
      <c r="G214" s="39" t="s">
        <v>15</v>
      </c>
      <c r="H214" s="33">
        <v>46084</v>
      </c>
      <c r="I214" s="185">
        <v>0.33248842592592592</v>
      </c>
      <c r="J214" s="177"/>
      <c r="K214" s="178"/>
      <c r="L214" s="178"/>
      <c r="M214" s="179"/>
      <c r="N214" s="180"/>
      <c r="O214" s="180"/>
      <c r="P214" s="181"/>
      <c r="Q214" s="26"/>
      <c r="R214" s="26"/>
      <c r="S214" s="37"/>
    </row>
    <row r="215" spans="3:19" x14ac:dyDescent="0.2">
      <c r="C215" s="172">
        <v>7</v>
      </c>
      <c r="D215" s="173" t="s">
        <v>29</v>
      </c>
      <c r="E215" s="183"/>
      <c r="F215" s="184"/>
      <c r="G215" s="39" t="s">
        <v>16</v>
      </c>
      <c r="H215" s="33">
        <v>46085</v>
      </c>
      <c r="I215" s="185">
        <v>0.3324537037037037</v>
      </c>
      <c r="J215" s="177"/>
      <c r="K215" s="178"/>
      <c r="L215" s="178"/>
      <c r="M215" s="179"/>
      <c r="N215" s="180"/>
      <c r="O215" s="180"/>
      <c r="P215" s="181"/>
      <c r="Q215" s="26"/>
      <c r="R215" s="26"/>
      <c r="S215" s="37"/>
    </row>
    <row r="216" spans="3:19" x14ac:dyDescent="0.2">
      <c r="C216" s="172">
        <v>7</v>
      </c>
      <c r="D216" s="173" t="s">
        <v>29</v>
      </c>
      <c r="E216" s="183"/>
      <c r="F216" s="184"/>
      <c r="G216" s="39" t="s">
        <v>17</v>
      </c>
      <c r="H216" s="33">
        <v>46086</v>
      </c>
      <c r="I216" s="185">
        <v>0.33173611111111112</v>
      </c>
      <c r="J216" s="177">
        <v>0.8458564814814814</v>
      </c>
      <c r="K216" s="178"/>
      <c r="L216" s="178"/>
      <c r="M216" s="179">
        <v>3</v>
      </c>
      <c r="N216" s="180"/>
      <c r="O216" s="180"/>
      <c r="P216" s="181"/>
      <c r="Q216" s="26"/>
      <c r="R216" s="26"/>
      <c r="S216" s="37"/>
    </row>
    <row r="217" spans="3:19" x14ac:dyDescent="0.2">
      <c r="C217" s="172">
        <v>7</v>
      </c>
      <c r="D217" s="173" t="s">
        <v>29</v>
      </c>
      <c r="E217" s="183"/>
      <c r="F217" s="184"/>
      <c r="G217" s="45" t="s">
        <v>18</v>
      </c>
      <c r="H217" s="33">
        <v>46087</v>
      </c>
      <c r="I217" s="185">
        <v>0.33244212962962966</v>
      </c>
      <c r="J217" s="177">
        <v>0.83304398148148151</v>
      </c>
      <c r="K217" s="178"/>
      <c r="L217" s="178"/>
      <c r="M217" s="179">
        <v>2</v>
      </c>
      <c r="N217" s="180"/>
      <c r="O217" s="180"/>
      <c r="P217" s="181"/>
      <c r="Q217" s="26"/>
      <c r="R217" s="26"/>
      <c r="S217" s="37"/>
    </row>
    <row r="218" spans="3:19" x14ac:dyDescent="0.2">
      <c r="C218" s="172">
        <v>7</v>
      </c>
      <c r="D218" s="173" t="s">
        <v>29</v>
      </c>
      <c r="E218" s="183"/>
      <c r="F218" s="184"/>
      <c r="G218" s="39" t="s">
        <v>19</v>
      </c>
      <c r="H218" s="33">
        <v>46088</v>
      </c>
      <c r="I218" s="185">
        <v>0.33280092592592592</v>
      </c>
      <c r="J218" s="177"/>
      <c r="K218" s="178"/>
      <c r="L218" s="178"/>
      <c r="M218" s="179"/>
      <c r="N218" s="180"/>
      <c r="O218" s="180"/>
      <c r="P218" s="181"/>
      <c r="Q218" s="26"/>
      <c r="R218" s="26"/>
      <c r="S218" s="37"/>
    </row>
    <row r="219" spans="3:19" x14ac:dyDescent="0.25">
      <c r="C219" s="172">
        <v>7</v>
      </c>
      <c r="D219" s="173" t="s">
        <v>29</v>
      </c>
      <c r="E219" s="183"/>
      <c r="F219" s="184"/>
      <c r="G219" s="46" t="s">
        <v>13</v>
      </c>
      <c r="H219" s="33">
        <v>46089</v>
      </c>
      <c r="I219" s="182"/>
      <c r="K219" s="178"/>
      <c r="L219" s="178"/>
      <c r="M219" s="179"/>
      <c r="N219" s="180"/>
      <c r="O219" s="180"/>
      <c r="P219" s="181"/>
      <c r="Q219" s="26"/>
      <c r="R219" s="26"/>
      <c r="S219" s="37"/>
    </row>
    <row r="220" spans="3:19" x14ac:dyDescent="0.25">
      <c r="C220" s="172">
        <v>7</v>
      </c>
      <c r="D220" s="173" t="s">
        <v>29</v>
      </c>
      <c r="E220" s="183"/>
      <c r="F220" s="184"/>
      <c r="G220" s="39" t="s">
        <v>14</v>
      </c>
      <c r="H220" s="33">
        <v>46090</v>
      </c>
      <c r="I220" s="5">
        <v>0.3321412037037037</v>
      </c>
      <c r="J220" s="185"/>
      <c r="K220" s="178"/>
      <c r="L220" s="178"/>
      <c r="M220" s="179"/>
      <c r="N220" s="180"/>
      <c r="O220" s="180"/>
      <c r="P220" s="181"/>
      <c r="Q220" s="26"/>
      <c r="R220" s="26"/>
      <c r="S220" s="37"/>
    </row>
    <row r="221" spans="3:19" x14ac:dyDescent="0.2">
      <c r="C221" s="172">
        <v>7</v>
      </c>
      <c r="D221" s="173" t="s">
        <v>29</v>
      </c>
      <c r="E221" s="183"/>
      <c r="F221" s="184"/>
      <c r="G221" s="39" t="s">
        <v>15</v>
      </c>
      <c r="H221" s="33">
        <v>46091</v>
      </c>
      <c r="I221" s="176">
        <v>0.33224537037037033</v>
      </c>
      <c r="J221" s="177">
        <v>0.8575462962962962</v>
      </c>
      <c r="K221" s="178"/>
      <c r="L221" s="178"/>
      <c r="M221" s="179">
        <v>3</v>
      </c>
      <c r="N221" s="180"/>
      <c r="O221" s="180"/>
      <c r="P221" s="181"/>
      <c r="Q221" s="26"/>
      <c r="R221" s="26"/>
      <c r="S221" s="37"/>
    </row>
    <row r="222" spans="3:19" x14ac:dyDescent="0.2">
      <c r="C222" s="172">
        <v>7</v>
      </c>
      <c r="D222" s="173" t="s">
        <v>29</v>
      </c>
      <c r="E222" s="183"/>
      <c r="F222" s="184"/>
      <c r="G222" s="39" t="s">
        <v>16</v>
      </c>
      <c r="H222" s="33">
        <v>46092</v>
      </c>
      <c r="I222" s="185"/>
      <c r="J222" s="177"/>
      <c r="K222" s="178"/>
      <c r="L222" s="178"/>
      <c r="M222" s="179"/>
      <c r="N222" s="180"/>
      <c r="O222" s="180"/>
      <c r="P222" s="181" t="s">
        <v>30</v>
      </c>
      <c r="Q222" s="26"/>
      <c r="R222" s="26"/>
      <c r="S222" s="37"/>
    </row>
    <row r="223" spans="3:19" x14ac:dyDescent="0.2">
      <c r="C223" s="172">
        <v>7</v>
      </c>
      <c r="D223" s="173" t="s">
        <v>29</v>
      </c>
      <c r="E223" s="183"/>
      <c r="F223" s="184"/>
      <c r="G223" s="39" t="s">
        <v>17</v>
      </c>
      <c r="H223" s="33">
        <v>46093</v>
      </c>
      <c r="I223" s="185">
        <v>0.33247685185185188</v>
      </c>
      <c r="J223" s="177"/>
      <c r="K223" s="178"/>
      <c r="L223" s="178"/>
      <c r="M223" s="179"/>
      <c r="N223" s="180"/>
      <c r="O223" s="180"/>
      <c r="P223" s="181"/>
      <c r="Q223" s="26"/>
      <c r="R223" s="26"/>
      <c r="S223" s="37"/>
    </row>
    <row r="224" spans="3:19" x14ac:dyDescent="0.2">
      <c r="C224" s="172">
        <v>7</v>
      </c>
      <c r="D224" s="173" t="s">
        <v>29</v>
      </c>
      <c r="E224" s="183"/>
      <c r="F224" s="184"/>
      <c r="G224" s="48" t="s">
        <v>18</v>
      </c>
      <c r="H224" s="33">
        <v>46094</v>
      </c>
      <c r="I224" s="176">
        <v>0.33318287037037037</v>
      </c>
      <c r="J224" s="177"/>
      <c r="K224" s="178"/>
      <c r="L224" s="178"/>
      <c r="M224" s="179"/>
      <c r="N224" s="180"/>
      <c r="O224" s="180"/>
      <c r="P224" s="181"/>
      <c r="Q224" s="26"/>
      <c r="R224" s="26"/>
      <c r="S224" s="37"/>
    </row>
    <row r="225" spans="3:19" x14ac:dyDescent="0.2">
      <c r="C225" s="172">
        <v>7</v>
      </c>
      <c r="D225" s="173" t="s">
        <v>29</v>
      </c>
      <c r="E225" s="183"/>
      <c r="F225" s="184"/>
      <c r="G225" s="39" t="s">
        <v>19</v>
      </c>
      <c r="H225" s="33">
        <v>46095</v>
      </c>
      <c r="I225" s="185">
        <v>0.33217592592592593</v>
      </c>
      <c r="J225" s="177"/>
      <c r="K225" s="178"/>
      <c r="L225" s="178"/>
      <c r="M225" s="179"/>
      <c r="N225" s="180"/>
      <c r="O225" s="180"/>
      <c r="P225" s="181"/>
      <c r="Q225" s="26"/>
      <c r="R225" s="26"/>
      <c r="S225" s="37"/>
    </row>
    <row r="226" spans="3:19" x14ac:dyDescent="0.2">
      <c r="C226" s="172">
        <v>7</v>
      </c>
      <c r="D226" s="173" t="s">
        <v>29</v>
      </c>
      <c r="E226" s="183"/>
      <c r="F226" s="184"/>
      <c r="G226" s="46" t="s">
        <v>13</v>
      </c>
      <c r="H226" s="33">
        <v>46096</v>
      </c>
      <c r="I226" s="185"/>
      <c r="J226" s="177"/>
      <c r="K226" s="178"/>
      <c r="L226" s="178"/>
      <c r="M226" s="179"/>
      <c r="N226" s="180"/>
      <c r="O226" s="180"/>
      <c r="P226" s="44"/>
      <c r="Q226" s="26"/>
      <c r="R226" s="26"/>
      <c r="S226" s="37"/>
    </row>
    <row r="227" spans="3:19" x14ac:dyDescent="0.2">
      <c r="C227" s="172">
        <v>7</v>
      </c>
      <c r="D227" s="173" t="s">
        <v>29</v>
      </c>
      <c r="E227" s="183"/>
      <c r="F227" s="184"/>
      <c r="G227" s="39" t="s">
        <v>14</v>
      </c>
      <c r="H227" s="33">
        <v>46097</v>
      </c>
      <c r="I227" s="182"/>
      <c r="J227" s="177"/>
      <c r="K227" s="178"/>
      <c r="L227" s="178"/>
      <c r="M227" s="179"/>
      <c r="N227" s="180"/>
      <c r="O227" s="180"/>
      <c r="P227" s="181"/>
      <c r="Q227" s="26"/>
      <c r="R227" s="26"/>
      <c r="S227" s="37"/>
    </row>
    <row r="228" spans="3:19" x14ac:dyDescent="0.2">
      <c r="C228" s="172">
        <v>7</v>
      </c>
      <c r="D228" s="173" t="s">
        <v>29</v>
      </c>
      <c r="E228" s="183"/>
      <c r="F228" s="184"/>
      <c r="G228" s="39" t="s">
        <v>15</v>
      </c>
      <c r="H228" s="33">
        <v>46098</v>
      </c>
      <c r="I228" s="182"/>
      <c r="J228" s="177"/>
      <c r="K228" s="178"/>
      <c r="L228" s="178"/>
      <c r="M228" s="179"/>
      <c r="N228" s="180"/>
      <c r="O228" s="180"/>
      <c r="P228" s="181"/>
      <c r="Q228" s="26"/>
      <c r="R228" s="26"/>
      <c r="S228" s="37"/>
    </row>
    <row r="229" spans="3:19" x14ac:dyDescent="0.2">
      <c r="C229" s="172">
        <v>7</v>
      </c>
      <c r="D229" s="173" t="s">
        <v>29</v>
      </c>
      <c r="E229" s="183"/>
      <c r="F229" s="184"/>
      <c r="G229" s="39" t="s">
        <v>16</v>
      </c>
      <c r="H229" s="33">
        <v>46099</v>
      </c>
      <c r="I229" s="176"/>
      <c r="J229" s="177"/>
      <c r="K229" s="178"/>
      <c r="L229" s="178"/>
      <c r="M229" s="179"/>
      <c r="N229" s="180"/>
      <c r="O229" s="180"/>
      <c r="P229" s="181"/>
      <c r="Q229" s="26"/>
      <c r="R229" s="26"/>
      <c r="S229" s="37"/>
    </row>
    <row r="230" spans="3:19" x14ac:dyDescent="0.2">
      <c r="C230" s="172">
        <v>7</v>
      </c>
      <c r="D230" s="173" t="s">
        <v>29</v>
      </c>
      <c r="E230" s="183"/>
      <c r="F230" s="184"/>
      <c r="G230" s="39" t="s">
        <v>17</v>
      </c>
      <c r="H230" s="33">
        <v>46100</v>
      </c>
      <c r="I230" s="176"/>
      <c r="J230" s="177"/>
      <c r="K230" s="178"/>
      <c r="L230" s="178"/>
      <c r="M230" s="179"/>
      <c r="N230" s="180"/>
      <c r="O230" s="180"/>
      <c r="P230" s="181"/>
      <c r="Q230" s="26"/>
      <c r="R230" s="26"/>
      <c r="S230" s="37"/>
    </row>
    <row r="231" spans="3:19" x14ac:dyDescent="0.2">
      <c r="C231" s="172">
        <v>7</v>
      </c>
      <c r="D231" s="173" t="s">
        <v>29</v>
      </c>
      <c r="E231" s="183"/>
      <c r="F231" s="184"/>
      <c r="G231" s="39" t="s">
        <v>18</v>
      </c>
      <c r="H231" s="33">
        <v>46101</v>
      </c>
      <c r="I231" s="185"/>
      <c r="J231" s="177"/>
      <c r="K231" s="178"/>
      <c r="L231" s="178"/>
      <c r="M231" s="179"/>
      <c r="N231" s="180"/>
      <c r="O231" s="180"/>
      <c r="P231" s="181"/>
      <c r="Q231" s="26"/>
      <c r="R231" s="26"/>
      <c r="S231" s="37"/>
    </row>
    <row r="232" spans="3:19" x14ac:dyDescent="0.2">
      <c r="C232" s="172">
        <v>7</v>
      </c>
      <c r="D232" s="173" t="s">
        <v>29</v>
      </c>
      <c r="E232" s="183"/>
      <c r="F232" s="184"/>
      <c r="G232" s="39" t="s">
        <v>19</v>
      </c>
      <c r="H232" s="33">
        <v>46102</v>
      </c>
      <c r="I232" s="185"/>
      <c r="J232" s="177"/>
      <c r="K232" s="178"/>
      <c r="L232" s="178"/>
      <c r="M232" s="179"/>
      <c r="N232" s="180"/>
      <c r="O232" s="180"/>
      <c r="P232" s="181"/>
      <c r="Q232" s="26"/>
      <c r="R232" s="26"/>
      <c r="S232" s="37"/>
    </row>
    <row r="233" spans="3:19" x14ac:dyDescent="0.2">
      <c r="C233" s="172">
        <v>7</v>
      </c>
      <c r="D233" s="173" t="s">
        <v>29</v>
      </c>
      <c r="E233" s="183"/>
      <c r="F233" s="184"/>
      <c r="G233" s="46" t="s">
        <v>13</v>
      </c>
      <c r="H233" s="33">
        <v>46103</v>
      </c>
      <c r="I233" s="185"/>
      <c r="J233" s="177"/>
      <c r="K233" s="178"/>
      <c r="L233" s="178"/>
      <c r="M233" s="179"/>
      <c r="N233" s="180"/>
      <c r="O233" s="180"/>
      <c r="P233" s="181"/>
      <c r="Q233" s="26"/>
      <c r="R233" s="26"/>
      <c r="S233" s="37"/>
    </row>
    <row r="234" spans="3:19" x14ac:dyDescent="0.2">
      <c r="C234" s="172">
        <v>7</v>
      </c>
      <c r="D234" s="173" t="s">
        <v>29</v>
      </c>
      <c r="E234" s="183"/>
      <c r="F234" s="184"/>
      <c r="G234" s="39" t="s">
        <v>14</v>
      </c>
      <c r="H234" s="33">
        <v>46104</v>
      </c>
      <c r="I234" s="176"/>
      <c r="J234" s="177"/>
      <c r="K234" s="178"/>
      <c r="L234" s="178"/>
      <c r="M234" s="179"/>
      <c r="N234" s="180"/>
      <c r="O234" s="180"/>
      <c r="P234" s="181"/>
      <c r="Q234" s="26"/>
      <c r="R234" s="26"/>
      <c r="S234" s="37"/>
    </row>
    <row r="235" spans="3:19" x14ac:dyDescent="0.2">
      <c r="C235" s="172">
        <v>7</v>
      </c>
      <c r="D235" s="173" t="s">
        <v>29</v>
      </c>
      <c r="E235" s="183"/>
      <c r="F235" s="184"/>
      <c r="G235" s="39" t="s">
        <v>15</v>
      </c>
      <c r="H235" s="33">
        <v>46105</v>
      </c>
      <c r="I235" s="185"/>
      <c r="J235" s="177"/>
      <c r="K235" s="178"/>
      <c r="L235" s="178"/>
      <c r="M235" s="179"/>
      <c r="N235" s="180"/>
      <c r="O235" s="180"/>
      <c r="P235" s="181"/>
      <c r="Q235" s="26"/>
      <c r="R235" s="26"/>
      <c r="S235" s="37"/>
    </row>
    <row r="236" spans="3:19" x14ac:dyDescent="0.2">
      <c r="C236" s="172">
        <v>7</v>
      </c>
      <c r="D236" s="173" t="s">
        <v>29</v>
      </c>
      <c r="E236" s="183"/>
      <c r="F236" s="184"/>
      <c r="G236" s="39" t="s">
        <v>16</v>
      </c>
      <c r="H236" s="33">
        <v>46106</v>
      </c>
      <c r="I236" s="185"/>
      <c r="J236" s="177"/>
      <c r="K236" s="178"/>
      <c r="L236" s="178"/>
      <c r="M236" s="179"/>
      <c r="N236" s="180"/>
      <c r="O236" s="180"/>
      <c r="P236" s="181"/>
      <c r="Q236" s="26"/>
      <c r="R236" s="26"/>
      <c r="S236" s="37"/>
    </row>
    <row r="237" spans="3:19" x14ac:dyDescent="0.2">
      <c r="C237" s="172">
        <v>7</v>
      </c>
      <c r="D237" s="173" t="s">
        <v>29</v>
      </c>
      <c r="E237" s="183"/>
      <c r="F237" s="184"/>
      <c r="G237" s="39" t="s">
        <v>17</v>
      </c>
      <c r="H237" s="33">
        <v>46107</v>
      </c>
      <c r="I237" s="176"/>
      <c r="J237" s="177"/>
      <c r="K237" s="178"/>
      <c r="L237" s="178"/>
      <c r="M237" s="179"/>
      <c r="N237" s="180"/>
      <c r="O237" s="180"/>
      <c r="P237" s="181"/>
      <c r="Q237" s="26"/>
      <c r="R237" s="26"/>
      <c r="S237" s="37"/>
    </row>
    <row r="238" spans="3:19" x14ac:dyDescent="0.2">
      <c r="C238" s="172">
        <v>7</v>
      </c>
      <c r="D238" s="173" t="s">
        <v>29</v>
      </c>
      <c r="E238" s="183"/>
      <c r="F238" s="184"/>
      <c r="G238" s="39" t="s">
        <v>18</v>
      </c>
      <c r="H238" s="33">
        <v>46108</v>
      </c>
      <c r="I238" s="185"/>
      <c r="J238" s="177"/>
      <c r="K238" s="178"/>
      <c r="L238" s="178"/>
      <c r="M238" s="179"/>
      <c r="N238" s="180"/>
      <c r="O238" s="180"/>
      <c r="P238" s="181"/>
      <c r="Q238" s="26"/>
      <c r="R238" s="26"/>
      <c r="S238" s="37"/>
    </row>
    <row r="239" spans="3:19" x14ac:dyDescent="0.2">
      <c r="C239" s="172">
        <v>7</v>
      </c>
      <c r="D239" s="173" t="s">
        <v>29</v>
      </c>
      <c r="E239" s="183"/>
      <c r="F239" s="184"/>
      <c r="G239" s="39" t="s">
        <v>19</v>
      </c>
      <c r="H239" s="33">
        <v>46109</v>
      </c>
      <c r="I239" s="185"/>
      <c r="J239" s="177"/>
      <c r="K239" s="178"/>
      <c r="L239" s="178"/>
      <c r="M239" s="179"/>
      <c r="N239" s="180"/>
      <c r="O239" s="180"/>
      <c r="P239" s="181"/>
      <c r="Q239" s="26"/>
      <c r="R239" s="26"/>
      <c r="S239" s="37"/>
    </row>
    <row r="240" spans="3:19" x14ac:dyDescent="0.2">
      <c r="C240" s="172">
        <v>7</v>
      </c>
      <c r="D240" s="173" t="s">
        <v>29</v>
      </c>
      <c r="E240" s="183"/>
      <c r="F240" s="184"/>
      <c r="G240" s="46" t="s">
        <v>13</v>
      </c>
      <c r="H240" s="33">
        <v>46110</v>
      </c>
      <c r="I240" s="185"/>
      <c r="J240" s="177"/>
      <c r="K240" s="178"/>
      <c r="L240" s="178"/>
      <c r="M240" s="179"/>
      <c r="N240" s="180"/>
      <c r="O240" s="180"/>
      <c r="P240" s="181"/>
      <c r="Q240" s="26"/>
      <c r="R240" s="26"/>
      <c r="S240" s="37"/>
    </row>
    <row r="241" spans="3:19" x14ac:dyDescent="0.2">
      <c r="C241" s="172">
        <v>7</v>
      </c>
      <c r="D241" s="173" t="s">
        <v>29</v>
      </c>
      <c r="E241" s="183"/>
      <c r="F241" s="184"/>
      <c r="G241" s="39" t="s">
        <v>14</v>
      </c>
      <c r="H241" s="33">
        <v>46111</v>
      </c>
      <c r="I241" s="185"/>
      <c r="J241" s="177"/>
      <c r="K241" s="178"/>
      <c r="L241" s="178"/>
      <c r="M241" s="179"/>
      <c r="N241" s="180"/>
      <c r="O241" s="180"/>
      <c r="P241" s="181"/>
      <c r="Q241" s="26"/>
      <c r="R241" s="26"/>
      <c r="S241" s="37"/>
    </row>
    <row r="242" spans="3:19" x14ac:dyDescent="0.2">
      <c r="C242" s="172">
        <v>7</v>
      </c>
      <c r="D242" s="173" t="s">
        <v>29</v>
      </c>
      <c r="E242" s="183"/>
      <c r="F242" s="184"/>
      <c r="G242" s="39" t="s">
        <v>15</v>
      </c>
      <c r="H242" s="33">
        <v>46112</v>
      </c>
      <c r="I242" s="185"/>
      <c r="J242" s="177"/>
      <c r="K242" s="178"/>
      <c r="L242" s="178"/>
      <c r="M242" s="179"/>
      <c r="N242" s="180"/>
      <c r="O242" s="180"/>
      <c r="P242" s="181"/>
      <c r="Q242" s="26"/>
      <c r="R242" s="26"/>
      <c r="S242" s="37"/>
    </row>
    <row r="243" spans="3:19" x14ac:dyDescent="0.2">
      <c r="C243" s="188"/>
      <c r="D243" s="189"/>
      <c r="E243" s="190"/>
      <c r="F243" s="190"/>
      <c r="G243" s="191"/>
      <c r="H243" s="192"/>
      <c r="I243" s="193" t="str">
        <f>D213</f>
        <v>KARNAHUDIN</v>
      </c>
      <c r="J243" s="194" t="s">
        <v>20</v>
      </c>
      <c r="K243" s="195"/>
      <c r="L243" s="195"/>
      <c r="M243" s="199">
        <f>SUM(M212:M242)</f>
        <v>8</v>
      </c>
      <c r="N243" s="199">
        <f t="shared" ref="N243:O243" si="6">SUM(N212:N242)</f>
        <v>0</v>
      </c>
      <c r="O243" s="199">
        <f t="shared" si="6"/>
        <v>0</v>
      </c>
      <c r="P243" s="200"/>
      <c r="Q243" s="26"/>
      <c r="R243" s="26"/>
      <c r="S243" s="37"/>
    </row>
    <row r="244" spans="3:19" x14ac:dyDescent="0.2">
      <c r="C244" s="201"/>
      <c r="D244" s="202"/>
      <c r="E244" s="203"/>
      <c r="F244" s="203"/>
      <c r="G244" s="204"/>
      <c r="H244" s="205"/>
      <c r="I244" s="206"/>
      <c r="J244" s="206"/>
      <c r="K244" s="205"/>
      <c r="L244" s="205"/>
      <c r="M244" s="205"/>
      <c r="N244" s="207"/>
      <c r="O244" s="207"/>
      <c r="P244" s="208"/>
      <c r="Q244" s="26"/>
      <c r="R244" s="26"/>
      <c r="S244" s="37"/>
    </row>
    <row r="245" spans="3:19" x14ac:dyDescent="0.2">
      <c r="C245" s="58"/>
      <c r="D245" s="59"/>
      <c r="E245" s="60"/>
      <c r="F245" s="60"/>
      <c r="G245" s="61"/>
      <c r="H245" s="62"/>
      <c r="I245" s="63"/>
      <c r="J245" s="63"/>
      <c r="K245" s="62"/>
      <c r="L245" s="62"/>
      <c r="M245" s="62"/>
      <c r="N245" s="64"/>
      <c r="O245" s="64"/>
      <c r="P245" s="65"/>
      <c r="Q245" s="26"/>
      <c r="R245" s="26"/>
      <c r="S245" s="37"/>
    </row>
    <row r="246" spans="3:19" x14ac:dyDescent="0.2">
      <c r="C246" s="66" t="s">
        <v>1</v>
      </c>
      <c r="D246" s="67" t="s">
        <v>2</v>
      </c>
      <c r="E246" s="68" t="s">
        <v>3</v>
      </c>
      <c r="F246" s="68" t="s">
        <v>4</v>
      </c>
      <c r="G246" s="69" t="s">
        <v>5</v>
      </c>
      <c r="H246" s="68" t="s">
        <v>6</v>
      </c>
      <c r="I246" s="70" t="s">
        <v>7</v>
      </c>
      <c r="J246" s="70" t="s">
        <v>8</v>
      </c>
      <c r="K246" s="71"/>
      <c r="L246" s="72"/>
      <c r="M246" s="72" t="s">
        <v>9</v>
      </c>
      <c r="N246" s="73" t="s">
        <v>10</v>
      </c>
      <c r="O246" s="73" t="s">
        <v>11</v>
      </c>
      <c r="P246" s="198"/>
      <c r="Q246" s="26"/>
      <c r="R246" s="26"/>
      <c r="S246" s="37"/>
    </row>
    <row r="247" spans="3:19" x14ac:dyDescent="0.2">
      <c r="C247" s="209">
        <v>8</v>
      </c>
      <c r="D247" s="1081" t="s">
        <v>86</v>
      </c>
      <c r="E247" s="211"/>
      <c r="F247" s="212"/>
      <c r="G247" s="32" t="s">
        <v>13</v>
      </c>
      <c r="H247" s="33">
        <v>46082</v>
      </c>
      <c r="I247" s="213"/>
      <c r="J247" s="214"/>
      <c r="K247" s="215"/>
      <c r="L247" s="215"/>
      <c r="M247" s="216"/>
      <c r="N247" s="217"/>
      <c r="O247" s="217"/>
      <c r="P247" s="218"/>
      <c r="Q247" s="26"/>
      <c r="R247" s="26"/>
      <c r="S247" s="37"/>
    </row>
    <row r="248" spans="3:19" x14ac:dyDescent="0.2">
      <c r="C248" s="209">
        <v>8</v>
      </c>
      <c r="D248" s="210" t="s">
        <v>86</v>
      </c>
      <c r="E248" s="211"/>
      <c r="F248" s="212"/>
      <c r="G248" s="29" t="s">
        <v>14</v>
      </c>
      <c r="H248" s="33">
        <v>46083</v>
      </c>
      <c r="I248" s="219">
        <v>0.33153935185185185</v>
      </c>
      <c r="J248" s="214"/>
      <c r="K248" s="215"/>
      <c r="L248" s="215"/>
      <c r="M248" s="216"/>
      <c r="N248" s="217"/>
      <c r="O248" s="217"/>
      <c r="P248" s="218"/>
      <c r="Q248" s="26"/>
      <c r="R248" s="26"/>
      <c r="S248" s="37"/>
    </row>
    <row r="249" spans="3:19" x14ac:dyDescent="0.2">
      <c r="C249" s="209">
        <v>8</v>
      </c>
      <c r="D249" s="210" t="s">
        <v>86</v>
      </c>
      <c r="E249" s="211"/>
      <c r="F249" s="212"/>
      <c r="G249" s="39" t="s">
        <v>15</v>
      </c>
      <c r="H249" s="33">
        <v>46084</v>
      </c>
      <c r="I249" s="220">
        <v>0.33159722222222221</v>
      </c>
      <c r="J249" s="214">
        <v>0.70980324074074075</v>
      </c>
      <c r="K249" s="215"/>
      <c r="L249" s="215"/>
      <c r="M249" s="216"/>
      <c r="N249" s="217"/>
      <c r="O249" s="217"/>
      <c r="P249" s="218"/>
      <c r="Q249" s="26"/>
      <c r="R249" s="26"/>
      <c r="S249" s="37"/>
    </row>
    <row r="250" spans="3:19" x14ac:dyDescent="0.2">
      <c r="C250" s="209">
        <v>8</v>
      </c>
      <c r="D250" s="210" t="s">
        <v>86</v>
      </c>
      <c r="E250" s="211"/>
      <c r="F250" s="212"/>
      <c r="G250" s="39" t="s">
        <v>16</v>
      </c>
      <c r="H250" s="33">
        <v>46085</v>
      </c>
      <c r="I250" s="220">
        <v>0.33065972222222223</v>
      </c>
      <c r="J250" s="214">
        <v>0.71217592592592593</v>
      </c>
      <c r="K250" s="215"/>
      <c r="L250" s="215"/>
      <c r="M250" s="216"/>
      <c r="N250" s="217"/>
      <c r="O250" s="217"/>
      <c r="P250" s="218"/>
      <c r="Q250" s="26"/>
      <c r="R250" s="26"/>
      <c r="S250" s="37"/>
    </row>
    <row r="251" spans="3:19" x14ac:dyDescent="0.2">
      <c r="C251" s="209">
        <v>8</v>
      </c>
      <c r="D251" s="210" t="s">
        <v>86</v>
      </c>
      <c r="E251" s="211"/>
      <c r="F251" s="212"/>
      <c r="G251" s="39" t="s">
        <v>17</v>
      </c>
      <c r="H251" s="33">
        <v>46086</v>
      </c>
      <c r="I251" s="220">
        <v>0.33263888888888887</v>
      </c>
      <c r="J251" s="214">
        <v>0.71212962962962967</v>
      </c>
      <c r="K251" s="215"/>
      <c r="L251" s="215"/>
      <c r="M251" s="216"/>
      <c r="N251" s="217"/>
      <c r="O251" s="217"/>
      <c r="P251" s="218"/>
      <c r="Q251" s="26"/>
      <c r="R251" s="26"/>
      <c r="S251" s="37"/>
    </row>
    <row r="252" spans="3:19" x14ac:dyDescent="0.2">
      <c r="C252" s="209">
        <v>8</v>
      </c>
      <c r="D252" s="210" t="s">
        <v>86</v>
      </c>
      <c r="E252" s="211"/>
      <c r="F252" s="212"/>
      <c r="G252" s="45" t="s">
        <v>18</v>
      </c>
      <c r="H252" s="33">
        <v>46087</v>
      </c>
      <c r="I252" s="220"/>
      <c r="J252" s="214">
        <v>0.71019675925925929</v>
      </c>
      <c r="K252" s="215"/>
      <c r="L252" s="215"/>
      <c r="M252" s="216"/>
      <c r="N252" s="217"/>
      <c r="O252" s="217"/>
      <c r="P252" s="218"/>
      <c r="Q252" s="26"/>
      <c r="R252" s="26"/>
      <c r="S252" s="37"/>
    </row>
    <row r="253" spans="3:19" x14ac:dyDescent="0.2">
      <c r="C253" s="209">
        <v>8</v>
      </c>
      <c r="D253" s="210" t="s">
        <v>86</v>
      </c>
      <c r="E253" s="211"/>
      <c r="F253" s="212"/>
      <c r="G253" s="39" t="s">
        <v>19</v>
      </c>
      <c r="H253" s="33">
        <v>46088</v>
      </c>
      <c r="I253" s="220">
        <v>0.33246527777777779</v>
      </c>
      <c r="J253" s="214">
        <v>0.55302083333333341</v>
      </c>
      <c r="K253" s="215"/>
      <c r="L253" s="215"/>
      <c r="M253" s="216"/>
      <c r="N253" s="217"/>
      <c r="O253" s="217"/>
      <c r="P253" s="218"/>
      <c r="Q253" s="26"/>
      <c r="R253" s="26"/>
      <c r="S253" s="37"/>
    </row>
    <row r="254" spans="3:19" x14ac:dyDescent="0.25">
      <c r="C254" s="209">
        <v>8</v>
      </c>
      <c r="D254" s="210" t="s">
        <v>86</v>
      </c>
      <c r="E254" s="211"/>
      <c r="F254" s="212"/>
      <c r="G254" s="46" t="s">
        <v>13</v>
      </c>
      <c r="H254" s="33">
        <v>46089</v>
      </c>
      <c r="I254" s="213"/>
      <c r="K254" s="215"/>
      <c r="L254" s="215"/>
      <c r="M254" s="216"/>
      <c r="N254" s="217"/>
      <c r="O254" s="217"/>
      <c r="P254" s="218"/>
      <c r="Q254" s="26"/>
      <c r="R254" s="26"/>
      <c r="S254" s="37"/>
    </row>
    <row r="255" spans="3:19" x14ac:dyDescent="0.25">
      <c r="C255" s="209">
        <v>8</v>
      </c>
      <c r="D255" s="210" t="s">
        <v>86</v>
      </c>
      <c r="E255" s="211"/>
      <c r="F255" s="212"/>
      <c r="G255" s="39" t="s">
        <v>14</v>
      </c>
      <c r="H255" s="33">
        <v>46090</v>
      </c>
      <c r="I255" s="5">
        <v>0.33320601851851855</v>
      </c>
      <c r="J255" s="220"/>
      <c r="K255" s="215"/>
      <c r="L255" s="215"/>
      <c r="M255" s="216"/>
      <c r="N255" s="217"/>
      <c r="O255" s="217"/>
      <c r="P255" s="218"/>
      <c r="Q255" s="26"/>
      <c r="R255" s="26"/>
      <c r="S255" s="37"/>
    </row>
    <row r="256" spans="3:19" x14ac:dyDescent="0.2">
      <c r="C256" s="209">
        <v>8</v>
      </c>
      <c r="D256" s="210" t="s">
        <v>86</v>
      </c>
      <c r="E256" s="211"/>
      <c r="F256" s="212"/>
      <c r="G256" s="39" t="s">
        <v>15</v>
      </c>
      <c r="H256" s="33">
        <v>46091</v>
      </c>
      <c r="I256" s="213">
        <v>0.34097222222222223</v>
      </c>
      <c r="J256" s="214">
        <v>0.80666666666666664</v>
      </c>
      <c r="K256" s="215"/>
      <c r="L256" s="215"/>
      <c r="M256" s="216">
        <v>2</v>
      </c>
      <c r="N256" s="217"/>
      <c r="O256" s="217"/>
      <c r="P256" s="218"/>
      <c r="Q256" s="26"/>
      <c r="R256" s="26"/>
      <c r="S256" s="37"/>
    </row>
    <row r="257" spans="3:19" x14ac:dyDescent="0.2">
      <c r="C257" s="209">
        <v>8</v>
      </c>
      <c r="D257" s="210" t="s">
        <v>86</v>
      </c>
      <c r="E257" s="211"/>
      <c r="F257" s="212"/>
      <c r="G257" s="39" t="s">
        <v>16</v>
      </c>
      <c r="H257" s="33">
        <v>46092</v>
      </c>
      <c r="I257" s="220">
        <v>0.33221064814814816</v>
      </c>
      <c r="J257" s="214">
        <v>0.83493055555555562</v>
      </c>
      <c r="K257" s="215"/>
      <c r="L257" s="215"/>
      <c r="M257" s="216">
        <v>3</v>
      </c>
      <c r="N257" s="217"/>
      <c r="O257" s="217"/>
      <c r="P257" s="218"/>
      <c r="Q257" s="26"/>
      <c r="R257" s="26"/>
      <c r="S257" s="37"/>
    </row>
    <row r="258" spans="3:19" x14ac:dyDescent="0.2">
      <c r="C258" s="209">
        <v>8</v>
      </c>
      <c r="D258" s="210" t="s">
        <v>86</v>
      </c>
      <c r="E258" s="211"/>
      <c r="F258" s="212"/>
      <c r="G258" s="39" t="s">
        <v>17</v>
      </c>
      <c r="H258" s="33">
        <v>46093</v>
      </c>
      <c r="I258" s="220">
        <v>0.33033564814814814</v>
      </c>
      <c r="J258" s="214">
        <v>0.80243055555555554</v>
      </c>
      <c r="K258" s="215"/>
      <c r="L258" s="215"/>
      <c r="M258" s="216">
        <v>2</v>
      </c>
      <c r="N258" s="217"/>
      <c r="O258" s="217"/>
      <c r="P258" s="218"/>
      <c r="Q258" s="26"/>
      <c r="R258" s="26"/>
      <c r="S258" s="37"/>
    </row>
    <row r="259" spans="3:19" x14ac:dyDescent="0.2">
      <c r="C259" s="209">
        <v>8</v>
      </c>
      <c r="D259" s="210" t="s">
        <v>86</v>
      </c>
      <c r="E259" s="211"/>
      <c r="F259" s="212"/>
      <c r="G259" s="48" t="s">
        <v>18</v>
      </c>
      <c r="H259" s="33">
        <v>46094</v>
      </c>
      <c r="I259" s="219">
        <v>0.71993055555555552</v>
      </c>
      <c r="J259" s="214"/>
      <c r="K259" s="215"/>
      <c r="L259" s="215"/>
      <c r="M259" s="216"/>
      <c r="N259" s="217"/>
      <c r="O259" s="217"/>
      <c r="P259" s="218"/>
      <c r="Q259" s="26"/>
      <c r="R259" s="26"/>
      <c r="S259" s="37"/>
    </row>
    <row r="260" spans="3:19" x14ac:dyDescent="0.2">
      <c r="C260" s="209">
        <v>8</v>
      </c>
      <c r="D260" s="210" t="s">
        <v>86</v>
      </c>
      <c r="E260" s="211"/>
      <c r="F260" s="212"/>
      <c r="G260" s="39" t="s">
        <v>19</v>
      </c>
      <c r="H260" s="33">
        <v>46095</v>
      </c>
      <c r="I260" s="220">
        <v>0.33232638888888888</v>
      </c>
      <c r="J260" s="214"/>
      <c r="K260" s="215"/>
      <c r="L260" s="215"/>
      <c r="M260" s="216"/>
      <c r="N260" s="217"/>
      <c r="O260" s="217"/>
      <c r="P260" s="218"/>
      <c r="Q260" s="26"/>
      <c r="R260" s="26"/>
      <c r="S260" s="37"/>
    </row>
    <row r="261" spans="3:19" x14ac:dyDescent="0.2">
      <c r="C261" s="209">
        <v>8</v>
      </c>
      <c r="D261" s="210" t="s">
        <v>86</v>
      </c>
      <c r="E261" s="211"/>
      <c r="F261" s="212"/>
      <c r="G261" s="46" t="s">
        <v>13</v>
      </c>
      <c r="H261" s="33">
        <v>46096</v>
      </c>
      <c r="I261" s="220"/>
      <c r="J261" s="214"/>
      <c r="K261" s="215"/>
      <c r="L261" s="215"/>
      <c r="M261" s="216"/>
      <c r="N261" s="217"/>
      <c r="O261" s="217"/>
      <c r="P261" s="44"/>
      <c r="Q261" s="26"/>
      <c r="R261" s="26"/>
      <c r="S261" s="37"/>
    </row>
    <row r="262" spans="3:19" x14ac:dyDescent="0.2">
      <c r="C262" s="209">
        <v>8</v>
      </c>
      <c r="D262" s="210" t="s">
        <v>86</v>
      </c>
      <c r="E262" s="211"/>
      <c r="F262" s="212"/>
      <c r="G262" s="39" t="s">
        <v>14</v>
      </c>
      <c r="H262" s="33">
        <v>46097</v>
      </c>
      <c r="I262" s="213"/>
      <c r="J262" s="214"/>
      <c r="K262" s="215"/>
      <c r="L262" s="215"/>
      <c r="M262" s="216"/>
      <c r="N262" s="217"/>
      <c r="O262" s="217"/>
      <c r="P262" s="218"/>
      <c r="Q262" s="26"/>
      <c r="R262" s="26"/>
      <c r="S262" s="37"/>
    </row>
    <row r="263" spans="3:19" x14ac:dyDescent="0.2">
      <c r="C263" s="209">
        <v>8</v>
      </c>
      <c r="D263" s="210" t="s">
        <v>86</v>
      </c>
      <c r="E263" s="211"/>
      <c r="F263" s="212"/>
      <c r="G263" s="39" t="s">
        <v>15</v>
      </c>
      <c r="H263" s="33">
        <v>46098</v>
      </c>
      <c r="I263" s="213"/>
      <c r="J263" s="214"/>
      <c r="K263" s="215"/>
      <c r="L263" s="215"/>
      <c r="M263" s="216"/>
      <c r="N263" s="217"/>
      <c r="O263" s="217"/>
      <c r="P263" s="218"/>
      <c r="Q263" s="26"/>
      <c r="R263" s="26"/>
      <c r="S263" s="37"/>
    </row>
    <row r="264" spans="3:19" x14ac:dyDescent="0.2">
      <c r="C264" s="209">
        <v>8</v>
      </c>
      <c r="D264" s="210" t="s">
        <v>86</v>
      </c>
      <c r="E264" s="211"/>
      <c r="F264" s="212"/>
      <c r="G264" s="39" t="s">
        <v>16</v>
      </c>
      <c r="H264" s="33">
        <v>46099</v>
      </c>
      <c r="I264" s="219"/>
      <c r="J264" s="214"/>
      <c r="K264" s="215"/>
      <c r="L264" s="215"/>
      <c r="M264" s="216"/>
      <c r="N264" s="217"/>
      <c r="O264" s="217"/>
      <c r="P264" s="218"/>
      <c r="Q264" s="26"/>
      <c r="R264" s="26"/>
      <c r="S264" s="37"/>
    </row>
    <row r="265" spans="3:19" x14ac:dyDescent="0.2">
      <c r="C265" s="209">
        <v>8</v>
      </c>
      <c r="D265" s="210" t="s">
        <v>86</v>
      </c>
      <c r="E265" s="211"/>
      <c r="F265" s="212"/>
      <c r="G265" s="39" t="s">
        <v>17</v>
      </c>
      <c r="H265" s="33">
        <v>46100</v>
      </c>
      <c r="I265" s="219"/>
      <c r="J265" s="214"/>
      <c r="K265" s="215"/>
      <c r="L265" s="215"/>
      <c r="M265" s="216"/>
      <c r="N265" s="217"/>
      <c r="O265" s="217"/>
      <c r="P265" s="218"/>
      <c r="Q265" s="26"/>
      <c r="R265" s="26"/>
      <c r="S265" s="37"/>
    </row>
    <row r="266" spans="3:19" x14ac:dyDescent="0.2">
      <c r="C266" s="209">
        <v>8</v>
      </c>
      <c r="D266" s="210" t="s">
        <v>86</v>
      </c>
      <c r="E266" s="211"/>
      <c r="F266" s="212"/>
      <c r="G266" s="39" t="s">
        <v>18</v>
      </c>
      <c r="H266" s="33">
        <v>46101</v>
      </c>
      <c r="I266" s="220"/>
      <c r="J266" s="214"/>
      <c r="K266" s="215"/>
      <c r="L266" s="215"/>
      <c r="M266" s="216"/>
      <c r="N266" s="217"/>
      <c r="O266" s="217"/>
      <c r="P266" s="218"/>
      <c r="Q266" s="26"/>
      <c r="R266" s="26"/>
      <c r="S266" s="37"/>
    </row>
    <row r="267" spans="3:19" x14ac:dyDescent="0.2">
      <c r="C267" s="209">
        <v>8</v>
      </c>
      <c r="D267" s="210" t="s">
        <v>86</v>
      </c>
      <c r="E267" s="211"/>
      <c r="F267" s="212"/>
      <c r="G267" s="39" t="s">
        <v>19</v>
      </c>
      <c r="H267" s="33">
        <v>46102</v>
      </c>
      <c r="I267" s="220"/>
      <c r="J267" s="214"/>
      <c r="K267" s="215"/>
      <c r="L267" s="215"/>
      <c r="M267" s="216"/>
      <c r="N267" s="217"/>
      <c r="O267" s="217"/>
      <c r="P267" s="218"/>
      <c r="Q267" s="26"/>
      <c r="R267" s="26"/>
      <c r="S267" s="37"/>
    </row>
    <row r="268" spans="3:19" x14ac:dyDescent="0.2">
      <c r="C268" s="209">
        <v>8</v>
      </c>
      <c r="D268" s="210" t="s">
        <v>86</v>
      </c>
      <c r="E268" s="211"/>
      <c r="F268" s="212"/>
      <c r="G268" s="46" t="s">
        <v>13</v>
      </c>
      <c r="H268" s="33">
        <v>46103</v>
      </c>
      <c r="I268" s="220"/>
      <c r="J268" s="214"/>
      <c r="K268" s="215"/>
      <c r="L268" s="215"/>
      <c r="M268" s="216"/>
      <c r="N268" s="217"/>
      <c r="O268" s="217"/>
      <c r="P268" s="218"/>
      <c r="Q268" s="26"/>
      <c r="R268" s="26"/>
      <c r="S268" s="37"/>
    </row>
    <row r="269" spans="3:19" x14ac:dyDescent="0.2">
      <c r="C269" s="209">
        <v>8</v>
      </c>
      <c r="D269" s="210" t="s">
        <v>86</v>
      </c>
      <c r="E269" s="211"/>
      <c r="F269" s="212"/>
      <c r="G269" s="39" t="s">
        <v>14</v>
      </c>
      <c r="H269" s="33">
        <v>46104</v>
      </c>
      <c r="I269" s="219"/>
      <c r="J269" s="214"/>
      <c r="K269" s="215"/>
      <c r="L269" s="215"/>
      <c r="M269" s="216"/>
      <c r="N269" s="217"/>
      <c r="O269" s="217"/>
      <c r="P269" s="218"/>
      <c r="Q269" s="26"/>
      <c r="R269" s="26"/>
      <c r="S269" s="37"/>
    </row>
    <row r="270" spans="3:19" x14ac:dyDescent="0.2">
      <c r="C270" s="209">
        <v>8</v>
      </c>
      <c r="D270" s="210" t="s">
        <v>86</v>
      </c>
      <c r="E270" s="211"/>
      <c r="F270" s="212"/>
      <c r="G270" s="39" t="s">
        <v>15</v>
      </c>
      <c r="H270" s="33">
        <v>46105</v>
      </c>
      <c r="I270" s="220"/>
      <c r="J270" s="214"/>
      <c r="K270" s="215"/>
      <c r="L270" s="215"/>
      <c r="M270" s="216"/>
      <c r="N270" s="217"/>
      <c r="O270" s="217"/>
      <c r="P270" s="218"/>
      <c r="Q270" s="26"/>
      <c r="R270" s="26"/>
      <c r="S270" s="37"/>
    </row>
    <row r="271" spans="3:19" x14ac:dyDescent="0.2">
      <c r="C271" s="209">
        <v>8</v>
      </c>
      <c r="D271" s="210" t="s">
        <v>86</v>
      </c>
      <c r="E271" s="211"/>
      <c r="F271" s="212"/>
      <c r="G271" s="39" t="s">
        <v>16</v>
      </c>
      <c r="H271" s="33">
        <v>46106</v>
      </c>
      <c r="I271" s="220"/>
      <c r="J271" s="214"/>
      <c r="K271" s="215"/>
      <c r="L271" s="215"/>
      <c r="M271" s="216"/>
      <c r="N271" s="217"/>
      <c r="O271" s="217"/>
      <c r="P271" s="218"/>
      <c r="Q271" s="26"/>
      <c r="R271" s="26"/>
      <c r="S271" s="37"/>
    </row>
    <row r="272" spans="3:19" x14ac:dyDescent="0.2">
      <c r="C272" s="209">
        <v>8</v>
      </c>
      <c r="D272" s="210" t="s">
        <v>86</v>
      </c>
      <c r="E272" s="211"/>
      <c r="F272" s="212"/>
      <c r="G272" s="39" t="s">
        <v>17</v>
      </c>
      <c r="H272" s="33">
        <v>46107</v>
      </c>
      <c r="I272" s="219"/>
      <c r="J272" s="214"/>
      <c r="K272" s="215"/>
      <c r="L272" s="215"/>
      <c r="M272" s="216"/>
      <c r="N272" s="217"/>
      <c r="O272" s="217"/>
      <c r="P272" s="218"/>
      <c r="Q272" s="26"/>
      <c r="R272" s="26"/>
      <c r="S272" s="37"/>
    </row>
    <row r="273" spans="3:19" x14ac:dyDescent="0.2">
      <c r="C273" s="209">
        <v>8</v>
      </c>
      <c r="D273" s="210" t="s">
        <v>86</v>
      </c>
      <c r="E273" s="211"/>
      <c r="F273" s="212"/>
      <c r="G273" s="39" t="s">
        <v>18</v>
      </c>
      <c r="H273" s="33">
        <v>46108</v>
      </c>
      <c r="I273" s="220"/>
      <c r="J273" s="214"/>
      <c r="K273" s="215"/>
      <c r="L273" s="215"/>
      <c r="M273" s="216"/>
      <c r="N273" s="217"/>
      <c r="O273" s="217"/>
      <c r="P273" s="218"/>
      <c r="Q273" s="26"/>
      <c r="R273" s="26"/>
      <c r="S273" s="37"/>
    </row>
    <row r="274" spans="3:19" x14ac:dyDescent="0.2">
      <c r="C274" s="209">
        <v>8</v>
      </c>
      <c r="D274" s="210" t="s">
        <v>86</v>
      </c>
      <c r="E274" s="211"/>
      <c r="F274" s="212"/>
      <c r="G274" s="39" t="s">
        <v>19</v>
      </c>
      <c r="H274" s="33">
        <v>46109</v>
      </c>
      <c r="I274" s="220"/>
      <c r="J274" s="214"/>
      <c r="K274" s="215"/>
      <c r="L274" s="215"/>
      <c r="M274" s="216"/>
      <c r="N274" s="217"/>
      <c r="O274" s="217"/>
      <c r="P274" s="218"/>
      <c r="Q274" s="26"/>
      <c r="R274" s="26"/>
      <c r="S274" s="37"/>
    </row>
    <row r="275" spans="3:19" x14ac:dyDescent="0.2">
      <c r="C275" s="209">
        <v>8</v>
      </c>
      <c r="D275" s="210" t="s">
        <v>86</v>
      </c>
      <c r="E275" s="211"/>
      <c r="F275" s="212"/>
      <c r="G275" s="46" t="s">
        <v>13</v>
      </c>
      <c r="H275" s="33">
        <v>46110</v>
      </c>
      <c r="I275" s="220"/>
      <c r="J275" s="214"/>
      <c r="K275" s="215"/>
      <c r="L275" s="215"/>
      <c r="M275" s="216"/>
      <c r="N275" s="217"/>
      <c r="O275" s="217"/>
      <c r="P275" s="218"/>
      <c r="Q275" s="26"/>
      <c r="R275" s="26"/>
      <c r="S275" s="37"/>
    </row>
    <row r="276" spans="3:19" x14ac:dyDescent="0.2">
      <c r="C276" s="209">
        <v>8</v>
      </c>
      <c r="D276" s="210" t="s">
        <v>86</v>
      </c>
      <c r="E276" s="211"/>
      <c r="F276" s="212"/>
      <c r="G276" s="39" t="s">
        <v>14</v>
      </c>
      <c r="H276" s="33">
        <v>46111</v>
      </c>
      <c r="I276" s="220"/>
      <c r="J276" s="214"/>
      <c r="K276" s="215"/>
      <c r="L276" s="215"/>
      <c r="M276" s="216"/>
      <c r="N276" s="217"/>
      <c r="O276" s="217"/>
      <c r="P276" s="218"/>
      <c r="Q276" s="26"/>
      <c r="R276" s="26"/>
      <c r="S276" s="37"/>
    </row>
    <row r="277" spans="3:19" x14ac:dyDescent="0.2">
      <c r="C277" s="209">
        <v>8</v>
      </c>
      <c r="D277" s="210" t="s">
        <v>86</v>
      </c>
      <c r="E277" s="211"/>
      <c r="F277" s="212"/>
      <c r="G277" s="39" t="s">
        <v>15</v>
      </c>
      <c r="H277" s="33">
        <v>46112</v>
      </c>
      <c r="I277" s="220"/>
      <c r="J277" s="214"/>
      <c r="K277" s="215"/>
      <c r="L277" s="215"/>
      <c r="M277" s="216"/>
      <c r="N277" s="217"/>
      <c r="O277" s="217"/>
      <c r="P277" s="218"/>
      <c r="Q277" s="26"/>
      <c r="R277" s="26"/>
      <c r="S277" s="37"/>
    </row>
    <row r="278" spans="3:19" x14ac:dyDescent="0.2">
      <c r="C278" s="221"/>
      <c r="D278" s="222"/>
      <c r="E278" s="223"/>
      <c r="F278" s="223"/>
      <c r="G278" s="224"/>
      <c r="H278" s="225"/>
      <c r="I278" s="226" t="str">
        <f>D248</f>
        <v>ISMAN SURANDARU</v>
      </c>
      <c r="J278" s="227" t="s">
        <v>20</v>
      </c>
      <c r="K278" s="228"/>
      <c r="L278" s="228"/>
      <c r="M278" s="229">
        <f>SUM(M247:M277)</f>
        <v>7</v>
      </c>
      <c r="N278" s="229">
        <f t="shared" ref="N278:O278" si="7">SUM(N247:N277)</f>
        <v>0</v>
      </c>
      <c r="O278" s="229">
        <f t="shared" si="7"/>
        <v>0</v>
      </c>
      <c r="P278" s="230"/>
      <c r="Q278" s="26"/>
      <c r="R278" s="26"/>
      <c r="S278" s="37"/>
    </row>
    <row r="279" spans="3:19" x14ac:dyDescent="0.2">
      <c r="C279" s="231"/>
      <c r="D279" s="232"/>
      <c r="E279" s="233"/>
      <c r="F279" s="233"/>
      <c r="G279" s="234"/>
      <c r="H279" s="235"/>
      <c r="I279" s="236"/>
      <c r="J279" s="236"/>
      <c r="K279" s="235"/>
      <c r="L279" s="235"/>
      <c r="M279" s="235"/>
      <c r="N279" s="237"/>
      <c r="O279" s="237"/>
      <c r="P279" s="238"/>
      <c r="Q279" s="26"/>
      <c r="R279" s="26"/>
      <c r="S279" s="37"/>
    </row>
    <row r="280" spans="3:19" x14ac:dyDescent="0.2">
      <c r="C280" s="58"/>
      <c r="D280" s="59"/>
      <c r="E280" s="60"/>
      <c r="F280" s="60"/>
      <c r="G280" s="61"/>
      <c r="H280" s="62"/>
      <c r="I280" s="63"/>
      <c r="J280" s="63"/>
      <c r="K280" s="62"/>
      <c r="L280" s="62"/>
      <c r="M280" s="62"/>
      <c r="N280" s="64"/>
      <c r="O280" s="64"/>
      <c r="P280" s="65"/>
      <c r="Q280" s="26"/>
      <c r="R280" s="26"/>
      <c r="S280" s="37"/>
    </row>
    <row r="281" spans="3:19" x14ac:dyDescent="0.2">
      <c r="C281" s="66" t="s">
        <v>1</v>
      </c>
      <c r="D281" s="67" t="s">
        <v>2</v>
      </c>
      <c r="E281" s="68" t="s">
        <v>3</v>
      </c>
      <c r="F281" s="68" t="s">
        <v>4</v>
      </c>
      <c r="G281" s="69" t="s">
        <v>5</v>
      </c>
      <c r="H281" s="68" t="s">
        <v>6</v>
      </c>
      <c r="I281" s="70" t="s">
        <v>7</v>
      </c>
      <c r="J281" s="70" t="s">
        <v>8</v>
      </c>
      <c r="K281" s="71"/>
      <c r="L281" s="72"/>
      <c r="M281" s="72" t="s">
        <v>9</v>
      </c>
      <c r="N281" s="73" t="s">
        <v>10</v>
      </c>
      <c r="O281" s="73" t="s">
        <v>11</v>
      </c>
      <c r="P281" s="198"/>
      <c r="Q281" s="26"/>
      <c r="R281" s="26"/>
      <c r="S281" s="37"/>
    </row>
    <row r="282" spans="3:19" x14ac:dyDescent="0.2">
      <c r="C282" s="239">
        <v>9</v>
      </c>
      <c r="D282" s="240" t="s">
        <v>31</v>
      </c>
      <c r="E282" s="241"/>
      <c r="F282" s="242"/>
      <c r="G282" s="32" t="s">
        <v>13</v>
      </c>
      <c r="H282" s="33">
        <v>46082</v>
      </c>
      <c r="I282" s="243"/>
      <c r="J282" s="244"/>
      <c r="K282" s="245"/>
      <c r="L282" s="245"/>
      <c r="M282" s="246"/>
      <c r="N282" s="247"/>
      <c r="O282" s="247"/>
      <c r="P282" s="248"/>
      <c r="Q282" s="26"/>
      <c r="R282" s="26"/>
      <c r="S282" s="37"/>
    </row>
    <row r="283" spans="3:19" x14ac:dyDescent="0.2">
      <c r="C283" s="239">
        <v>9</v>
      </c>
      <c r="D283" s="240" t="s">
        <v>31</v>
      </c>
      <c r="E283" s="241"/>
      <c r="F283" s="242"/>
      <c r="G283" s="29" t="s">
        <v>14</v>
      </c>
      <c r="H283" s="33">
        <v>46083</v>
      </c>
      <c r="I283" s="243"/>
      <c r="J283" s="244"/>
      <c r="K283" s="245"/>
      <c r="L283" s="245"/>
      <c r="M283" s="246"/>
      <c r="N283" s="247"/>
      <c r="O283" s="247"/>
      <c r="P283" s="248"/>
      <c r="Q283" s="26"/>
      <c r="R283" s="26"/>
      <c r="S283" s="37"/>
    </row>
    <row r="284" spans="3:19" x14ac:dyDescent="0.2">
      <c r="C284" s="239">
        <v>9</v>
      </c>
      <c r="D284" s="240" t="s">
        <v>31</v>
      </c>
      <c r="E284" s="241"/>
      <c r="F284" s="242"/>
      <c r="G284" s="39" t="s">
        <v>15</v>
      </c>
      <c r="H284" s="33">
        <v>46084</v>
      </c>
      <c r="I284" s="249">
        <v>0.32708333333333334</v>
      </c>
      <c r="J284" s="244">
        <v>0.7085069444444444</v>
      </c>
      <c r="K284" s="245"/>
      <c r="L284" s="245"/>
      <c r="M284" s="246"/>
      <c r="N284" s="247"/>
      <c r="O284" s="247"/>
      <c r="P284" s="248"/>
      <c r="Q284" s="26"/>
      <c r="R284" s="26"/>
      <c r="S284" s="37"/>
    </row>
    <row r="285" spans="3:19" x14ac:dyDescent="0.2">
      <c r="C285" s="239">
        <v>9</v>
      </c>
      <c r="D285" s="240" t="s">
        <v>31</v>
      </c>
      <c r="E285" s="241"/>
      <c r="F285" s="242"/>
      <c r="G285" s="39" t="s">
        <v>16</v>
      </c>
      <c r="H285" s="33">
        <v>46085</v>
      </c>
      <c r="I285" s="249">
        <v>0.32473379629629628</v>
      </c>
      <c r="J285" s="244">
        <v>0.70940972222222232</v>
      </c>
      <c r="K285" s="245"/>
      <c r="L285" s="245"/>
      <c r="M285" s="246"/>
      <c r="N285" s="247"/>
      <c r="O285" s="247"/>
      <c r="P285" s="248"/>
      <c r="Q285" s="26"/>
      <c r="R285" s="26"/>
      <c r="S285" s="37"/>
    </row>
    <row r="286" spans="3:19" x14ac:dyDescent="0.2">
      <c r="C286" s="239">
        <v>9</v>
      </c>
      <c r="D286" s="240" t="s">
        <v>31</v>
      </c>
      <c r="E286" s="241"/>
      <c r="F286" s="242"/>
      <c r="G286" s="39" t="s">
        <v>17</v>
      </c>
      <c r="H286" s="33">
        <v>46086</v>
      </c>
      <c r="I286" s="249">
        <v>0.33001157407407405</v>
      </c>
      <c r="J286" s="244">
        <v>0.70857638888888885</v>
      </c>
      <c r="K286" s="245"/>
      <c r="L286" s="245"/>
      <c r="M286" s="246"/>
      <c r="N286" s="247"/>
      <c r="O286" s="247"/>
      <c r="P286" s="248"/>
      <c r="Q286" s="26"/>
      <c r="R286" s="26"/>
      <c r="S286" s="37"/>
    </row>
    <row r="287" spans="3:19" x14ac:dyDescent="0.2">
      <c r="C287" s="239">
        <v>9</v>
      </c>
      <c r="D287" s="240" t="s">
        <v>31</v>
      </c>
      <c r="E287" s="241"/>
      <c r="F287" s="242"/>
      <c r="G287" s="45" t="s">
        <v>18</v>
      </c>
      <c r="H287" s="33">
        <v>46087</v>
      </c>
      <c r="I287" s="249">
        <v>0.33291666666666669</v>
      </c>
      <c r="J287" s="244">
        <v>0.70871527777777776</v>
      </c>
      <c r="K287" s="245"/>
      <c r="L287" s="245"/>
      <c r="M287" s="246"/>
      <c r="N287" s="247"/>
      <c r="O287" s="247"/>
      <c r="P287" s="248"/>
      <c r="Q287" s="26"/>
      <c r="R287" s="26"/>
      <c r="S287" s="37"/>
    </row>
    <row r="288" spans="3:19" x14ac:dyDescent="0.2">
      <c r="C288" s="239">
        <v>9</v>
      </c>
      <c r="D288" s="240" t="s">
        <v>31</v>
      </c>
      <c r="E288" s="241"/>
      <c r="F288" s="242"/>
      <c r="G288" s="39" t="s">
        <v>19</v>
      </c>
      <c r="H288" s="33">
        <v>46088</v>
      </c>
      <c r="I288" s="249">
        <v>0.32569444444444445</v>
      </c>
      <c r="J288" s="244">
        <v>0.54192129629629626</v>
      </c>
      <c r="K288" s="245"/>
      <c r="L288" s="245"/>
      <c r="M288" s="246"/>
      <c r="N288" s="247"/>
      <c r="O288" s="247"/>
      <c r="P288" s="248"/>
      <c r="Q288" s="26"/>
      <c r="R288" s="26"/>
      <c r="S288" s="37"/>
    </row>
    <row r="289" spans="3:19" x14ac:dyDescent="0.25">
      <c r="C289" s="239">
        <v>9</v>
      </c>
      <c r="D289" s="240" t="s">
        <v>31</v>
      </c>
      <c r="E289" s="241"/>
      <c r="F289" s="242"/>
      <c r="G289" s="46" t="s">
        <v>13</v>
      </c>
      <c r="H289" s="33">
        <v>46089</v>
      </c>
      <c r="I289" s="243"/>
      <c r="K289" s="245"/>
      <c r="L289" s="245"/>
      <c r="M289" s="246"/>
      <c r="N289" s="247"/>
      <c r="O289" s="247"/>
      <c r="P289" s="248"/>
      <c r="Q289" s="26"/>
      <c r="R289" s="26"/>
      <c r="S289" s="37"/>
    </row>
    <row r="290" spans="3:19" x14ac:dyDescent="0.25">
      <c r="C290" s="239">
        <v>9</v>
      </c>
      <c r="D290" s="240" t="s">
        <v>31</v>
      </c>
      <c r="E290" s="241"/>
      <c r="F290" s="242"/>
      <c r="G290" s="39" t="s">
        <v>14</v>
      </c>
      <c r="H290" s="33">
        <v>46090</v>
      </c>
      <c r="I290" s="5">
        <v>0.32371527777777781</v>
      </c>
      <c r="J290" s="249">
        <v>1.1808333333333336E-2</v>
      </c>
      <c r="K290" s="245"/>
      <c r="L290" s="245"/>
      <c r="M290" s="246"/>
      <c r="N290" s="247"/>
      <c r="O290" s="247"/>
      <c r="P290" s="248"/>
      <c r="Q290" s="26"/>
      <c r="R290" s="26"/>
      <c r="S290" s="37"/>
    </row>
    <row r="291" spans="3:19" x14ac:dyDescent="0.2">
      <c r="C291" s="239">
        <v>9</v>
      </c>
      <c r="D291" s="240" t="s">
        <v>31</v>
      </c>
      <c r="E291" s="241"/>
      <c r="F291" s="242"/>
      <c r="G291" s="39" t="s">
        <v>15</v>
      </c>
      <c r="H291" s="33">
        <v>46091</v>
      </c>
      <c r="I291" s="250">
        <v>0.32634259259259263</v>
      </c>
      <c r="J291" s="244">
        <v>0.70870370370370372</v>
      </c>
      <c r="K291" s="245"/>
      <c r="L291" s="245"/>
      <c r="M291" s="246"/>
      <c r="N291" s="247"/>
      <c r="O291" s="247"/>
      <c r="P291" s="248"/>
      <c r="Q291" s="26"/>
      <c r="R291" s="26"/>
      <c r="S291" s="37"/>
    </row>
    <row r="292" spans="3:19" x14ac:dyDescent="0.2">
      <c r="C292" s="239">
        <v>9</v>
      </c>
      <c r="D292" s="240" t="s">
        <v>31</v>
      </c>
      <c r="E292" s="241"/>
      <c r="F292" s="242"/>
      <c r="G292" s="39" t="s">
        <v>16</v>
      </c>
      <c r="H292" s="33">
        <v>46092</v>
      </c>
      <c r="I292" s="249">
        <v>0.32750000000000001</v>
      </c>
      <c r="J292" s="244">
        <v>0.7087268518518518</v>
      </c>
      <c r="K292" s="245"/>
      <c r="L292" s="245"/>
      <c r="M292" s="246"/>
      <c r="N292" s="247"/>
      <c r="O292" s="247"/>
      <c r="P292" s="248"/>
      <c r="Q292" s="26"/>
      <c r="R292" s="26"/>
      <c r="S292" s="37"/>
    </row>
    <row r="293" spans="3:19" x14ac:dyDescent="0.2">
      <c r="C293" s="239">
        <v>9</v>
      </c>
      <c r="D293" s="240" t="s">
        <v>31</v>
      </c>
      <c r="E293" s="241"/>
      <c r="F293" s="242"/>
      <c r="G293" s="39" t="s">
        <v>17</v>
      </c>
      <c r="H293" s="33">
        <v>46093</v>
      </c>
      <c r="I293" s="249">
        <v>0.32431712962962961</v>
      </c>
      <c r="J293" s="244">
        <v>0.70923611111111118</v>
      </c>
      <c r="K293" s="245"/>
      <c r="L293" s="245"/>
      <c r="M293" s="246"/>
      <c r="N293" s="247"/>
      <c r="O293" s="247"/>
      <c r="P293" s="248"/>
      <c r="Q293" s="26"/>
      <c r="R293" s="26"/>
      <c r="S293" s="37"/>
    </row>
    <row r="294" spans="3:19" x14ac:dyDescent="0.2">
      <c r="C294" s="239">
        <v>9</v>
      </c>
      <c r="D294" s="240" t="s">
        <v>31</v>
      </c>
      <c r="E294" s="241"/>
      <c r="F294" s="242"/>
      <c r="G294" s="48" t="s">
        <v>18</v>
      </c>
      <c r="H294" s="33">
        <v>46094</v>
      </c>
      <c r="I294" s="250">
        <v>0.32715277777777779</v>
      </c>
      <c r="J294" s="244">
        <v>0.70844907407407398</v>
      </c>
      <c r="K294" s="245"/>
      <c r="L294" s="245"/>
      <c r="M294" s="246"/>
      <c r="N294" s="247"/>
      <c r="O294" s="247"/>
      <c r="P294" s="248"/>
      <c r="Q294" s="26"/>
      <c r="R294" s="26"/>
      <c r="S294" s="37"/>
    </row>
    <row r="295" spans="3:19" x14ac:dyDescent="0.2">
      <c r="C295" s="239">
        <v>9</v>
      </c>
      <c r="D295" s="240" t="s">
        <v>31</v>
      </c>
      <c r="E295" s="241"/>
      <c r="F295" s="242"/>
      <c r="G295" s="39" t="s">
        <v>19</v>
      </c>
      <c r="H295" s="33">
        <v>46095</v>
      </c>
      <c r="I295" s="249">
        <v>0.33018518518518519</v>
      </c>
      <c r="J295" s="244"/>
      <c r="K295" s="245"/>
      <c r="L295" s="245"/>
      <c r="M295" s="246"/>
      <c r="N295" s="247"/>
      <c r="O295" s="247"/>
      <c r="P295" s="248"/>
      <c r="Q295" s="26"/>
      <c r="R295" s="26"/>
      <c r="S295" s="37"/>
    </row>
    <row r="296" spans="3:19" x14ac:dyDescent="0.2">
      <c r="C296" s="239">
        <v>9</v>
      </c>
      <c r="D296" s="240" t="s">
        <v>31</v>
      </c>
      <c r="E296" s="241"/>
      <c r="F296" s="242"/>
      <c r="G296" s="46" t="s">
        <v>13</v>
      </c>
      <c r="H296" s="33">
        <v>46096</v>
      </c>
      <c r="I296" s="249"/>
      <c r="J296" s="244"/>
      <c r="K296" s="245"/>
      <c r="L296" s="245"/>
      <c r="M296" s="246"/>
      <c r="N296" s="247"/>
      <c r="O296" s="247"/>
      <c r="P296" s="44"/>
      <c r="Q296" s="26"/>
      <c r="R296" s="26"/>
      <c r="S296" s="37"/>
    </row>
    <row r="297" spans="3:19" x14ac:dyDescent="0.2">
      <c r="C297" s="239">
        <v>9</v>
      </c>
      <c r="D297" s="240" t="s">
        <v>31</v>
      </c>
      <c r="E297" s="241"/>
      <c r="F297" s="242"/>
      <c r="G297" s="39" t="s">
        <v>14</v>
      </c>
      <c r="H297" s="33">
        <v>46097</v>
      </c>
      <c r="I297" s="243"/>
      <c r="J297" s="244"/>
      <c r="K297" s="245"/>
      <c r="L297" s="245"/>
      <c r="M297" s="246"/>
      <c r="N297" s="247"/>
      <c r="O297" s="247"/>
      <c r="P297" s="248"/>
      <c r="Q297" s="26"/>
      <c r="R297" s="26"/>
      <c r="S297" s="37"/>
    </row>
    <row r="298" spans="3:19" x14ac:dyDescent="0.2">
      <c r="C298" s="239">
        <v>9</v>
      </c>
      <c r="D298" s="240" t="s">
        <v>31</v>
      </c>
      <c r="E298" s="241"/>
      <c r="F298" s="242"/>
      <c r="G298" s="39" t="s">
        <v>15</v>
      </c>
      <c r="H298" s="33">
        <v>46098</v>
      </c>
      <c r="I298" s="243"/>
      <c r="J298" s="244"/>
      <c r="K298" s="245"/>
      <c r="L298" s="245"/>
      <c r="M298" s="246"/>
      <c r="N298" s="247"/>
      <c r="O298" s="247"/>
      <c r="P298" s="248"/>
      <c r="Q298" s="26"/>
      <c r="R298" s="26"/>
      <c r="S298" s="37"/>
    </row>
    <row r="299" spans="3:19" x14ac:dyDescent="0.2">
      <c r="C299" s="239">
        <v>9</v>
      </c>
      <c r="D299" s="240" t="s">
        <v>31</v>
      </c>
      <c r="E299" s="241"/>
      <c r="F299" s="242"/>
      <c r="G299" s="39" t="s">
        <v>16</v>
      </c>
      <c r="H299" s="33">
        <v>46099</v>
      </c>
      <c r="I299" s="250"/>
      <c r="J299" s="244"/>
      <c r="K299" s="245"/>
      <c r="L299" s="245"/>
      <c r="M299" s="246"/>
      <c r="N299" s="247"/>
      <c r="O299" s="247"/>
      <c r="P299" s="248"/>
      <c r="Q299" s="26"/>
      <c r="R299" s="26"/>
      <c r="S299" s="37"/>
    </row>
    <row r="300" spans="3:19" x14ac:dyDescent="0.2">
      <c r="C300" s="239">
        <v>9</v>
      </c>
      <c r="D300" s="240" t="s">
        <v>31</v>
      </c>
      <c r="E300" s="241"/>
      <c r="F300" s="242"/>
      <c r="G300" s="39" t="s">
        <v>17</v>
      </c>
      <c r="H300" s="33">
        <v>46100</v>
      </c>
      <c r="I300" s="250"/>
      <c r="J300" s="244"/>
      <c r="K300" s="245"/>
      <c r="L300" s="245"/>
      <c r="M300" s="246"/>
      <c r="N300" s="247"/>
      <c r="O300" s="247"/>
      <c r="P300" s="248"/>
      <c r="Q300" s="26"/>
      <c r="R300" s="26"/>
      <c r="S300" s="37"/>
    </row>
    <row r="301" spans="3:19" x14ac:dyDescent="0.2">
      <c r="C301" s="239">
        <v>9</v>
      </c>
      <c r="D301" s="240" t="s">
        <v>31</v>
      </c>
      <c r="E301" s="241"/>
      <c r="F301" s="242"/>
      <c r="G301" s="39" t="s">
        <v>18</v>
      </c>
      <c r="H301" s="33">
        <v>46101</v>
      </c>
      <c r="I301" s="249"/>
      <c r="J301" s="244"/>
      <c r="K301" s="245"/>
      <c r="L301" s="245"/>
      <c r="M301" s="246"/>
      <c r="N301" s="247"/>
      <c r="O301" s="247"/>
      <c r="P301" s="248"/>
      <c r="Q301" s="26"/>
      <c r="R301" s="26"/>
      <c r="S301" s="37"/>
    </row>
    <row r="302" spans="3:19" x14ac:dyDescent="0.2">
      <c r="C302" s="239">
        <v>9</v>
      </c>
      <c r="D302" s="240" t="s">
        <v>31</v>
      </c>
      <c r="E302" s="241"/>
      <c r="F302" s="242"/>
      <c r="G302" s="39" t="s">
        <v>19</v>
      </c>
      <c r="H302" s="33">
        <v>46102</v>
      </c>
      <c r="I302" s="249"/>
      <c r="J302" s="244"/>
      <c r="K302" s="245"/>
      <c r="L302" s="245"/>
      <c r="M302" s="246"/>
      <c r="N302" s="247"/>
      <c r="O302" s="247"/>
      <c r="P302" s="248"/>
      <c r="Q302" s="26"/>
      <c r="R302" s="26"/>
      <c r="S302" s="37"/>
    </row>
    <row r="303" spans="3:19" x14ac:dyDescent="0.2">
      <c r="C303" s="239">
        <v>9</v>
      </c>
      <c r="D303" s="240" t="s">
        <v>31</v>
      </c>
      <c r="E303" s="241"/>
      <c r="F303" s="242"/>
      <c r="G303" s="46" t="s">
        <v>13</v>
      </c>
      <c r="H303" s="33">
        <v>46103</v>
      </c>
      <c r="I303" s="249"/>
      <c r="J303" s="244"/>
      <c r="K303" s="245"/>
      <c r="L303" s="245"/>
      <c r="M303" s="246"/>
      <c r="N303" s="247"/>
      <c r="O303" s="247"/>
      <c r="P303" s="248"/>
      <c r="Q303" s="26"/>
      <c r="R303" s="26"/>
      <c r="S303" s="37"/>
    </row>
    <row r="304" spans="3:19" x14ac:dyDescent="0.2">
      <c r="C304" s="239">
        <v>9</v>
      </c>
      <c r="D304" s="240" t="s">
        <v>31</v>
      </c>
      <c r="E304" s="241"/>
      <c r="F304" s="242"/>
      <c r="G304" s="39" t="s">
        <v>14</v>
      </c>
      <c r="H304" s="33">
        <v>46104</v>
      </c>
      <c r="I304" s="250"/>
      <c r="J304" s="244"/>
      <c r="K304" s="245"/>
      <c r="L304" s="245"/>
      <c r="M304" s="246"/>
      <c r="N304" s="247"/>
      <c r="O304" s="247"/>
      <c r="P304" s="248"/>
      <c r="Q304" s="26"/>
      <c r="R304" s="26"/>
      <c r="S304" s="37"/>
    </row>
    <row r="305" spans="3:19" x14ac:dyDescent="0.2">
      <c r="C305" s="239">
        <v>9</v>
      </c>
      <c r="D305" s="240" t="s">
        <v>31</v>
      </c>
      <c r="E305" s="241"/>
      <c r="F305" s="242"/>
      <c r="G305" s="39" t="s">
        <v>15</v>
      </c>
      <c r="H305" s="33">
        <v>46105</v>
      </c>
      <c r="I305" s="249"/>
      <c r="J305" s="244"/>
      <c r="K305" s="245"/>
      <c r="L305" s="245"/>
      <c r="M305" s="246"/>
      <c r="N305" s="247"/>
      <c r="O305" s="247"/>
      <c r="P305" s="248"/>
      <c r="Q305" s="26"/>
      <c r="R305" s="26"/>
      <c r="S305" s="37"/>
    </row>
    <row r="306" spans="3:19" x14ac:dyDescent="0.2">
      <c r="C306" s="239">
        <v>9</v>
      </c>
      <c r="D306" s="240" t="s">
        <v>31</v>
      </c>
      <c r="E306" s="241"/>
      <c r="F306" s="242"/>
      <c r="G306" s="39" t="s">
        <v>16</v>
      </c>
      <c r="H306" s="33">
        <v>46106</v>
      </c>
      <c r="I306" s="249"/>
      <c r="J306" s="244"/>
      <c r="K306" s="245"/>
      <c r="L306" s="245"/>
      <c r="M306" s="246"/>
      <c r="N306" s="247"/>
      <c r="O306" s="247"/>
      <c r="P306" s="248"/>
      <c r="Q306" s="26"/>
      <c r="R306" s="26"/>
      <c r="S306" s="37"/>
    </row>
    <row r="307" spans="3:19" x14ac:dyDescent="0.2">
      <c r="C307" s="239">
        <v>9</v>
      </c>
      <c r="D307" s="240" t="s">
        <v>31</v>
      </c>
      <c r="E307" s="241"/>
      <c r="F307" s="242"/>
      <c r="G307" s="39" t="s">
        <v>17</v>
      </c>
      <c r="H307" s="33">
        <v>46107</v>
      </c>
      <c r="I307" s="250"/>
      <c r="J307" s="244"/>
      <c r="K307" s="245"/>
      <c r="L307" s="245"/>
      <c r="M307" s="246"/>
      <c r="N307" s="247"/>
      <c r="O307" s="247"/>
      <c r="P307" s="248"/>
      <c r="Q307" s="26"/>
      <c r="R307" s="26"/>
      <c r="S307" s="37"/>
    </row>
    <row r="308" spans="3:19" x14ac:dyDescent="0.2">
      <c r="C308" s="239">
        <v>9</v>
      </c>
      <c r="D308" s="240" t="s">
        <v>31</v>
      </c>
      <c r="E308" s="241"/>
      <c r="F308" s="242"/>
      <c r="G308" s="39" t="s">
        <v>18</v>
      </c>
      <c r="H308" s="33">
        <v>46108</v>
      </c>
      <c r="I308" s="249"/>
      <c r="J308" s="244"/>
      <c r="K308" s="245"/>
      <c r="L308" s="245"/>
      <c r="M308" s="246"/>
      <c r="N308" s="247"/>
      <c r="O308" s="247"/>
      <c r="P308" s="248"/>
      <c r="Q308" s="26"/>
      <c r="R308" s="26"/>
      <c r="S308" s="37"/>
    </row>
    <row r="309" spans="3:19" x14ac:dyDescent="0.2">
      <c r="C309" s="239">
        <v>9</v>
      </c>
      <c r="D309" s="240" t="s">
        <v>31</v>
      </c>
      <c r="E309" s="241"/>
      <c r="F309" s="242"/>
      <c r="G309" s="39" t="s">
        <v>19</v>
      </c>
      <c r="H309" s="33">
        <v>46109</v>
      </c>
      <c r="I309" s="249"/>
      <c r="J309" s="244"/>
      <c r="K309" s="245"/>
      <c r="L309" s="245"/>
      <c r="M309" s="246"/>
      <c r="N309" s="247"/>
      <c r="O309" s="247"/>
      <c r="P309" s="248"/>
      <c r="Q309" s="26"/>
      <c r="R309" s="26"/>
      <c r="S309" s="37"/>
    </row>
    <row r="310" spans="3:19" x14ac:dyDescent="0.2">
      <c r="C310" s="239">
        <v>9</v>
      </c>
      <c r="D310" s="240" t="s">
        <v>31</v>
      </c>
      <c r="E310" s="241"/>
      <c r="F310" s="242"/>
      <c r="G310" s="46" t="s">
        <v>13</v>
      </c>
      <c r="H310" s="33">
        <v>46110</v>
      </c>
      <c r="I310" s="249"/>
      <c r="J310" s="244"/>
      <c r="K310" s="245"/>
      <c r="L310" s="245"/>
      <c r="M310" s="246"/>
      <c r="N310" s="247"/>
      <c r="O310" s="247"/>
      <c r="P310" s="248"/>
      <c r="Q310" s="26"/>
      <c r="R310" s="26"/>
      <c r="S310" s="37"/>
    </row>
    <row r="311" spans="3:19" x14ac:dyDescent="0.2">
      <c r="C311" s="239">
        <v>9</v>
      </c>
      <c r="D311" s="240" t="s">
        <v>31</v>
      </c>
      <c r="E311" s="241"/>
      <c r="F311" s="242"/>
      <c r="G311" s="39" t="s">
        <v>14</v>
      </c>
      <c r="H311" s="33">
        <v>46111</v>
      </c>
      <c r="I311" s="249"/>
      <c r="J311" s="244"/>
      <c r="K311" s="245"/>
      <c r="L311" s="245"/>
      <c r="M311" s="246"/>
      <c r="N311" s="247"/>
      <c r="O311" s="247"/>
      <c r="P311" s="248"/>
      <c r="Q311" s="26"/>
      <c r="R311" s="26"/>
      <c r="S311" s="37"/>
    </row>
    <row r="312" spans="3:19" x14ac:dyDescent="0.2">
      <c r="C312" s="239">
        <v>9</v>
      </c>
      <c r="D312" s="240" t="s">
        <v>31</v>
      </c>
      <c r="E312" s="241"/>
      <c r="F312" s="242"/>
      <c r="G312" s="39" t="s">
        <v>15</v>
      </c>
      <c r="H312" s="33">
        <v>46112</v>
      </c>
      <c r="I312" s="249"/>
      <c r="J312" s="244"/>
      <c r="K312" s="245"/>
      <c r="L312" s="245"/>
      <c r="M312" s="246"/>
      <c r="N312" s="247"/>
      <c r="O312" s="247"/>
      <c r="P312" s="248"/>
      <c r="Q312" s="26"/>
      <c r="R312" s="26"/>
      <c r="S312" s="37"/>
    </row>
    <row r="313" spans="3:19" x14ac:dyDescent="0.2">
      <c r="C313" s="251"/>
      <c r="D313" s="252"/>
      <c r="E313" s="253"/>
      <c r="F313" s="253"/>
      <c r="G313" s="254"/>
      <c r="H313" s="255"/>
      <c r="I313" s="256" t="s">
        <v>31</v>
      </c>
      <c r="J313" s="257" t="s">
        <v>20</v>
      </c>
      <c r="K313" s="258"/>
      <c r="L313" s="258"/>
      <c r="M313" s="259">
        <f>SUM(M282:M312)</f>
        <v>0</v>
      </c>
      <c r="N313" s="259">
        <f t="shared" ref="N313:O313" si="8">SUM(N282:N312)</f>
        <v>0</v>
      </c>
      <c r="O313" s="259">
        <f t="shared" si="8"/>
        <v>0</v>
      </c>
      <c r="P313" s="248"/>
      <c r="Q313" s="26"/>
      <c r="R313" s="26"/>
      <c r="S313" s="37"/>
    </row>
    <row r="314" spans="3:19" x14ac:dyDescent="0.2">
      <c r="C314" s="260"/>
      <c r="D314" s="261"/>
      <c r="E314" s="262"/>
      <c r="F314" s="262"/>
      <c r="G314" s="263"/>
      <c r="H314" s="264"/>
      <c r="I314" s="265"/>
      <c r="J314" s="265"/>
      <c r="K314" s="264"/>
      <c r="L314" s="264"/>
      <c r="M314" s="264"/>
      <c r="N314" s="266"/>
      <c r="O314" s="266"/>
      <c r="P314" s="267"/>
      <c r="Q314" s="26"/>
      <c r="R314" s="26"/>
      <c r="S314" s="37"/>
    </row>
    <row r="315" spans="3:19" x14ac:dyDescent="0.2">
      <c r="C315" s="58"/>
      <c r="D315" s="59"/>
      <c r="E315" s="60"/>
      <c r="F315" s="60"/>
      <c r="G315" s="61"/>
      <c r="H315" s="62"/>
      <c r="I315" s="63"/>
      <c r="J315" s="63"/>
      <c r="K315" s="62"/>
      <c r="L315" s="62"/>
      <c r="M315" s="62"/>
      <c r="N315" s="64"/>
      <c r="O315" s="64"/>
      <c r="P315" s="65"/>
      <c r="Q315" s="26"/>
      <c r="R315" s="26"/>
      <c r="S315" s="37"/>
    </row>
    <row r="316" spans="3:19" x14ac:dyDescent="0.2">
      <c r="C316" s="66" t="s">
        <v>1</v>
      </c>
      <c r="D316" s="67" t="s">
        <v>2</v>
      </c>
      <c r="E316" s="68" t="s">
        <v>3</v>
      </c>
      <c r="F316" s="68" t="s">
        <v>4</v>
      </c>
      <c r="G316" s="69" t="s">
        <v>5</v>
      </c>
      <c r="H316" s="68" t="s">
        <v>6</v>
      </c>
      <c r="I316" s="70" t="s">
        <v>7</v>
      </c>
      <c r="J316" s="70" t="s">
        <v>8</v>
      </c>
      <c r="K316" s="71"/>
      <c r="L316" s="72"/>
      <c r="M316" s="72" t="s">
        <v>9</v>
      </c>
      <c r="N316" s="73" t="s">
        <v>10</v>
      </c>
      <c r="O316" s="73" t="s">
        <v>11</v>
      </c>
      <c r="P316" s="198"/>
      <c r="Q316" s="26"/>
      <c r="R316" s="26"/>
      <c r="S316" s="37"/>
    </row>
    <row r="317" spans="3:19" x14ac:dyDescent="0.2">
      <c r="C317" s="268">
        <v>10</v>
      </c>
      <c r="D317" s="269" t="s">
        <v>32</v>
      </c>
      <c r="E317" s="270"/>
      <c r="F317" s="271"/>
      <c r="G317" s="32" t="s">
        <v>13</v>
      </c>
      <c r="H317" s="33">
        <v>46082</v>
      </c>
      <c r="I317" s="272"/>
      <c r="J317" s="273"/>
      <c r="K317" s="274"/>
      <c r="L317" s="274"/>
      <c r="M317" s="275"/>
      <c r="N317" s="276"/>
      <c r="O317" s="276"/>
      <c r="P317" s="277"/>
      <c r="Q317" s="26"/>
      <c r="R317" s="26"/>
      <c r="S317" s="37"/>
    </row>
    <row r="318" spans="3:19" x14ac:dyDescent="0.2">
      <c r="C318" s="268">
        <v>10</v>
      </c>
      <c r="D318" s="269" t="s">
        <v>32</v>
      </c>
      <c r="E318" s="270"/>
      <c r="F318" s="271"/>
      <c r="G318" s="29" t="s">
        <v>14</v>
      </c>
      <c r="H318" s="33">
        <v>46083</v>
      </c>
      <c r="I318" s="278">
        <v>0.31465277777777778</v>
      </c>
      <c r="J318" s="273"/>
      <c r="K318" s="274"/>
      <c r="L318" s="274"/>
      <c r="M318" s="275"/>
      <c r="N318" s="276"/>
      <c r="O318" s="276"/>
      <c r="P318" s="277"/>
      <c r="Q318" s="26"/>
      <c r="R318" s="26"/>
      <c r="S318" s="37"/>
    </row>
    <row r="319" spans="3:19" x14ac:dyDescent="0.2">
      <c r="C319" s="268">
        <v>10</v>
      </c>
      <c r="D319" s="269" t="s">
        <v>32</v>
      </c>
      <c r="E319" s="270"/>
      <c r="F319" s="271"/>
      <c r="G319" s="39" t="s">
        <v>15</v>
      </c>
      <c r="H319" s="33">
        <v>46084</v>
      </c>
      <c r="I319" s="279">
        <v>0.31082175925925926</v>
      </c>
      <c r="J319" s="273">
        <v>0.70906249999999993</v>
      </c>
      <c r="K319" s="274"/>
      <c r="L319" s="274"/>
      <c r="M319" s="275"/>
      <c r="N319" s="276"/>
      <c r="O319" s="276"/>
      <c r="P319" s="277"/>
      <c r="Q319" s="26"/>
      <c r="R319" s="26"/>
      <c r="S319" s="37"/>
    </row>
    <row r="320" spans="3:19" x14ac:dyDescent="0.2">
      <c r="C320" s="268">
        <v>10</v>
      </c>
      <c r="D320" s="269" t="s">
        <v>32</v>
      </c>
      <c r="E320" s="270"/>
      <c r="F320" s="271"/>
      <c r="G320" s="39" t="s">
        <v>16</v>
      </c>
      <c r="H320" s="33">
        <v>46085</v>
      </c>
      <c r="I320" s="279">
        <v>0.30739583333333337</v>
      </c>
      <c r="J320" s="273">
        <v>0.70916666666666661</v>
      </c>
      <c r="K320" s="274"/>
      <c r="L320" s="274"/>
      <c r="M320" s="275"/>
      <c r="N320" s="276"/>
      <c r="O320" s="276"/>
      <c r="P320" s="277"/>
      <c r="Q320" s="26"/>
      <c r="R320" s="26"/>
      <c r="S320" s="37"/>
    </row>
    <row r="321" spans="2:19" x14ac:dyDescent="0.2">
      <c r="C321" s="268">
        <v>10</v>
      </c>
      <c r="D321" s="269" t="s">
        <v>32</v>
      </c>
      <c r="E321" s="270"/>
      <c r="F321" s="271"/>
      <c r="G321" s="39" t="s">
        <v>17</v>
      </c>
      <c r="H321" s="33">
        <v>46086</v>
      </c>
      <c r="I321" s="279">
        <v>0.30780092592592595</v>
      </c>
      <c r="J321" s="273">
        <v>0.70909722222222227</v>
      </c>
      <c r="K321" s="274"/>
      <c r="L321" s="274"/>
      <c r="M321" s="275"/>
      <c r="N321" s="276"/>
      <c r="O321" s="276"/>
      <c r="P321" s="277"/>
      <c r="Q321" s="26"/>
      <c r="R321" s="26"/>
      <c r="S321" s="37"/>
    </row>
    <row r="322" spans="2:19" x14ac:dyDescent="0.2">
      <c r="C322" s="268">
        <v>10</v>
      </c>
      <c r="D322" s="269" t="s">
        <v>32</v>
      </c>
      <c r="E322" s="270"/>
      <c r="F322" s="271"/>
      <c r="G322" s="45" t="s">
        <v>18</v>
      </c>
      <c r="H322" s="33">
        <v>46087</v>
      </c>
      <c r="I322" s="279">
        <v>0.31189814814814815</v>
      </c>
      <c r="J322" s="273">
        <v>0.70916666666666661</v>
      </c>
      <c r="K322" s="274"/>
      <c r="L322" s="274"/>
      <c r="M322" s="275"/>
      <c r="N322" s="276"/>
      <c r="O322" s="276"/>
      <c r="P322" s="277"/>
      <c r="Q322" s="26"/>
      <c r="R322" s="26"/>
      <c r="S322" s="37"/>
    </row>
    <row r="323" spans="2:19" x14ac:dyDescent="0.2">
      <c r="C323" s="268">
        <v>10</v>
      </c>
      <c r="D323" s="269" t="s">
        <v>32</v>
      </c>
      <c r="E323" s="270"/>
      <c r="F323" s="271"/>
      <c r="G323" s="39" t="s">
        <v>19</v>
      </c>
      <c r="H323" s="33">
        <v>46088</v>
      </c>
      <c r="I323" s="279">
        <v>0.3127199074074074</v>
      </c>
      <c r="J323" s="273">
        <v>0.56068287037037035</v>
      </c>
      <c r="K323" s="274"/>
      <c r="L323" s="274"/>
      <c r="M323" s="275"/>
      <c r="N323" s="276"/>
      <c r="O323" s="276"/>
      <c r="P323" s="277"/>
      <c r="Q323" s="26"/>
      <c r="R323" s="26"/>
      <c r="S323" s="37"/>
    </row>
    <row r="324" spans="2:19" x14ac:dyDescent="0.25">
      <c r="C324" s="268">
        <v>10</v>
      </c>
      <c r="D324" s="269" t="s">
        <v>32</v>
      </c>
      <c r="E324" s="270"/>
      <c r="F324" s="271"/>
      <c r="G324" s="46" t="s">
        <v>13</v>
      </c>
      <c r="H324" s="33">
        <v>46089</v>
      </c>
      <c r="I324" s="272"/>
      <c r="K324" s="274"/>
      <c r="L324" s="274"/>
      <c r="M324" s="275"/>
      <c r="N324" s="276"/>
      <c r="O324" s="276"/>
      <c r="P324" s="277"/>
      <c r="Q324" s="26"/>
      <c r="R324" s="26"/>
      <c r="S324" s="37"/>
    </row>
    <row r="325" spans="2:19" x14ac:dyDescent="0.25">
      <c r="C325" s="268">
        <v>10</v>
      </c>
      <c r="D325" s="269" t="s">
        <v>32</v>
      </c>
      <c r="E325" s="270"/>
      <c r="F325" s="271"/>
      <c r="G325" s="39" t="s">
        <v>14</v>
      </c>
      <c r="H325" s="33">
        <v>46090</v>
      </c>
      <c r="I325" s="5">
        <v>0.31733796296296296</v>
      </c>
      <c r="J325" s="279">
        <v>0.70914351851851853</v>
      </c>
      <c r="K325" s="274"/>
      <c r="L325" s="274"/>
      <c r="M325" s="275"/>
      <c r="N325" s="276"/>
      <c r="O325" s="276"/>
      <c r="P325" s="277"/>
      <c r="Q325" s="26"/>
      <c r="R325" s="26"/>
      <c r="S325" s="37"/>
    </row>
    <row r="326" spans="2:19" s="3" customFormat="1" x14ac:dyDescent="0.25">
      <c r="B326"/>
      <c r="C326" s="268">
        <v>10</v>
      </c>
      <c r="D326" s="269" t="s">
        <v>32</v>
      </c>
      <c r="E326" s="270"/>
      <c r="F326" s="271"/>
      <c r="G326" s="39" t="s">
        <v>15</v>
      </c>
      <c r="H326" s="33">
        <v>46091</v>
      </c>
      <c r="I326" s="278">
        <v>0.31412037037037038</v>
      </c>
      <c r="J326" s="273">
        <v>0.7087268518518518</v>
      </c>
      <c r="K326" s="274"/>
      <c r="L326" s="274"/>
      <c r="M326" s="275"/>
      <c r="N326" s="276"/>
      <c r="O326" s="276"/>
      <c r="P326" s="277"/>
      <c r="Q326" s="26"/>
      <c r="R326" s="26"/>
      <c r="S326" s="26"/>
    </row>
    <row r="327" spans="2:19" x14ac:dyDescent="0.2">
      <c r="C327" s="268">
        <v>10</v>
      </c>
      <c r="D327" s="269" t="s">
        <v>32</v>
      </c>
      <c r="E327" s="270"/>
      <c r="F327" s="271"/>
      <c r="G327" s="39" t="s">
        <v>16</v>
      </c>
      <c r="H327" s="33">
        <v>46092</v>
      </c>
      <c r="I327" s="278">
        <v>0.31074074074074071</v>
      </c>
      <c r="J327" s="273">
        <v>0.70915509259259257</v>
      </c>
      <c r="K327" s="274"/>
      <c r="L327" s="274"/>
      <c r="M327" s="275"/>
      <c r="N327" s="276"/>
      <c r="O327" s="276"/>
      <c r="P327" s="277"/>
      <c r="Q327" s="26"/>
      <c r="R327" s="26"/>
      <c r="S327" s="37"/>
    </row>
    <row r="328" spans="2:19" x14ac:dyDescent="0.25">
      <c r="B328" s="3"/>
      <c r="C328" s="268">
        <v>10</v>
      </c>
      <c r="D328" s="269" t="s">
        <v>32</v>
      </c>
      <c r="E328" s="270"/>
      <c r="F328" s="271"/>
      <c r="G328" s="39" t="s">
        <v>17</v>
      </c>
      <c r="H328" s="33">
        <v>46093</v>
      </c>
      <c r="I328" s="278">
        <v>0.31591435185185185</v>
      </c>
      <c r="J328" s="273">
        <v>0.71106481481481476</v>
      </c>
      <c r="K328" s="274"/>
      <c r="L328" s="274"/>
      <c r="M328" s="275"/>
      <c r="N328" s="276"/>
      <c r="O328" s="276"/>
      <c r="P328" s="277"/>
      <c r="Q328" s="26"/>
      <c r="R328" s="26"/>
      <c r="S328" s="37"/>
    </row>
    <row r="329" spans="2:19" x14ac:dyDescent="0.2">
      <c r="C329" s="268">
        <v>10</v>
      </c>
      <c r="D329" s="269" t="s">
        <v>32</v>
      </c>
      <c r="E329" s="270"/>
      <c r="F329" s="271"/>
      <c r="G329" s="48" t="s">
        <v>18</v>
      </c>
      <c r="H329" s="33">
        <v>46094</v>
      </c>
      <c r="I329" s="278">
        <v>0.31101851851851853</v>
      </c>
      <c r="J329" s="273">
        <v>0.70890046296296294</v>
      </c>
      <c r="K329" s="274"/>
      <c r="L329" s="274"/>
      <c r="M329" s="275"/>
      <c r="N329" s="276"/>
      <c r="O329" s="276"/>
      <c r="P329" s="277"/>
      <c r="Q329" s="26"/>
      <c r="R329" s="26"/>
      <c r="S329" s="37"/>
    </row>
    <row r="330" spans="2:19" x14ac:dyDescent="0.2">
      <c r="C330" s="268">
        <v>10</v>
      </c>
      <c r="D330" s="269" t="s">
        <v>32</v>
      </c>
      <c r="E330" s="270"/>
      <c r="F330" s="271"/>
      <c r="G330" s="39" t="s">
        <v>19</v>
      </c>
      <c r="H330" s="33">
        <v>46095</v>
      </c>
      <c r="I330" s="278">
        <v>0.32803240740740741</v>
      </c>
      <c r="J330" s="273"/>
      <c r="K330" s="274"/>
      <c r="L330" s="274"/>
      <c r="M330" s="275"/>
      <c r="N330" s="276"/>
      <c r="O330" s="276"/>
      <c r="P330" s="277"/>
      <c r="Q330" s="26"/>
      <c r="R330" s="26"/>
      <c r="S330" s="37"/>
    </row>
    <row r="331" spans="2:19" x14ac:dyDescent="0.2">
      <c r="C331" s="268">
        <v>10</v>
      </c>
      <c r="D331" s="269" t="s">
        <v>32</v>
      </c>
      <c r="E331" s="270"/>
      <c r="F331" s="271"/>
      <c r="G331" s="46" t="s">
        <v>13</v>
      </c>
      <c r="H331" s="33">
        <v>46096</v>
      </c>
      <c r="I331" s="278"/>
      <c r="J331" s="273"/>
      <c r="K331" s="274"/>
      <c r="L331" s="274"/>
      <c r="M331" s="275"/>
      <c r="N331" s="276"/>
      <c r="O331" s="276"/>
      <c r="P331" s="44"/>
      <c r="Q331" s="26"/>
      <c r="R331" s="26"/>
      <c r="S331" s="37"/>
    </row>
    <row r="332" spans="2:19" x14ac:dyDescent="0.2">
      <c r="C332" s="268">
        <v>10</v>
      </c>
      <c r="D332" s="269" t="s">
        <v>32</v>
      </c>
      <c r="E332" s="270"/>
      <c r="F332" s="271"/>
      <c r="G332" s="39" t="s">
        <v>14</v>
      </c>
      <c r="H332" s="33">
        <v>46097</v>
      </c>
      <c r="I332" s="278"/>
      <c r="J332" s="273"/>
      <c r="K332" s="274"/>
      <c r="L332" s="274"/>
      <c r="M332" s="275"/>
      <c r="N332" s="276"/>
      <c r="O332" s="276"/>
      <c r="P332" s="277"/>
      <c r="Q332" s="26"/>
      <c r="R332" s="26"/>
      <c r="S332" s="37"/>
    </row>
    <row r="333" spans="2:19" x14ac:dyDescent="0.2">
      <c r="C333" s="268">
        <v>10</v>
      </c>
      <c r="D333" s="269" t="s">
        <v>32</v>
      </c>
      <c r="E333" s="270"/>
      <c r="F333" s="271"/>
      <c r="G333" s="39" t="s">
        <v>15</v>
      </c>
      <c r="H333" s="33">
        <v>46098</v>
      </c>
      <c r="I333" s="278"/>
      <c r="J333" s="273"/>
      <c r="K333" s="274"/>
      <c r="L333" s="274"/>
      <c r="M333" s="275"/>
      <c r="N333" s="276"/>
      <c r="O333" s="276"/>
      <c r="P333" s="277"/>
      <c r="Q333" s="26"/>
      <c r="R333" s="26"/>
      <c r="S333" s="37"/>
    </row>
    <row r="334" spans="2:19" x14ac:dyDescent="0.2">
      <c r="C334" s="268">
        <v>10</v>
      </c>
      <c r="D334" s="269" t="s">
        <v>32</v>
      </c>
      <c r="E334" s="270"/>
      <c r="F334" s="271"/>
      <c r="G334" s="39" t="s">
        <v>16</v>
      </c>
      <c r="H334" s="33">
        <v>46099</v>
      </c>
      <c r="I334" s="278"/>
      <c r="J334" s="273"/>
      <c r="K334" s="274"/>
      <c r="L334" s="274"/>
      <c r="M334" s="275"/>
      <c r="N334" s="276"/>
      <c r="O334" s="276"/>
      <c r="P334" s="277"/>
      <c r="Q334" s="26"/>
      <c r="R334" s="26"/>
      <c r="S334" s="37"/>
    </row>
    <row r="335" spans="2:19" x14ac:dyDescent="0.2">
      <c r="C335" s="268">
        <v>10</v>
      </c>
      <c r="D335" s="269" t="s">
        <v>32</v>
      </c>
      <c r="E335" s="270"/>
      <c r="F335" s="271"/>
      <c r="G335" s="39" t="s">
        <v>17</v>
      </c>
      <c r="H335" s="33">
        <v>46100</v>
      </c>
      <c r="I335" s="278"/>
      <c r="J335" s="273"/>
      <c r="K335" s="274"/>
      <c r="L335" s="274"/>
      <c r="M335" s="275"/>
      <c r="N335" s="276"/>
      <c r="O335" s="276"/>
      <c r="P335" s="277"/>
      <c r="Q335" s="26"/>
      <c r="R335" s="26"/>
      <c r="S335" s="37"/>
    </row>
    <row r="336" spans="2:19" x14ac:dyDescent="0.2">
      <c r="C336" s="268">
        <v>10</v>
      </c>
      <c r="D336" s="269" t="s">
        <v>32</v>
      </c>
      <c r="E336" s="270"/>
      <c r="F336" s="271"/>
      <c r="G336" s="39" t="s">
        <v>18</v>
      </c>
      <c r="H336" s="33">
        <v>46101</v>
      </c>
      <c r="I336" s="278"/>
      <c r="J336" s="273"/>
      <c r="K336" s="274"/>
      <c r="L336" s="274"/>
      <c r="M336" s="275"/>
      <c r="N336" s="276"/>
      <c r="O336" s="276"/>
      <c r="P336" s="277"/>
      <c r="Q336" s="26"/>
      <c r="R336" s="26"/>
      <c r="S336" s="37"/>
    </row>
    <row r="337" spans="3:19" x14ac:dyDescent="0.2">
      <c r="C337" s="268">
        <v>10</v>
      </c>
      <c r="D337" s="269" t="s">
        <v>32</v>
      </c>
      <c r="E337" s="270"/>
      <c r="F337" s="271"/>
      <c r="G337" s="39" t="s">
        <v>19</v>
      </c>
      <c r="H337" s="33">
        <v>46102</v>
      </c>
      <c r="I337" s="278"/>
      <c r="J337" s="273"/>
      <c r="K337" s="274"/>
      <c r="L337" s="274"/>
      <c r="M337" s="275"/>
      <c r="N337" s="276"/>
      <c r="O337" s="276"/>
      <c r="P337" s="277"/>
      <c r="Q337" s="26"/>
      <c r="R337" s="26"/>
      <c r="S337" s="37"/>
    </row>
    <row r="338" spans="3:19" x14ac:dyDescent="0.2">
      <c r="C338" s="268">
        <v>10</v>
      </c>
      <c r="D338" s="269" t="s">
        <v>32</v>
      </c>
      <c r="E338" s="270"/>
      <c r="F338" s="271"/>
      <c r="G338" s="46" t="s">
        <v>13</v>
      </c>
      <c r="H338" s="33">
        <v>46103</v>
      </c>
      <c r="I338" s="278"/>
      <c r="J338" s="273"/>
      <c r="K338" s="274"/>
      <c r="L338" s="274"/>
      <c r="M338" s="275"/>
      <c r="N338" s="276"/>
      <c r="O338" s="276"/>
      <c r="P338" s="277"/>
      <c r="Q338" s="26"/>
      <c r="R338" s="26"/>
      <c r="S338" s="37"/>
    </row>
    <row r="339" spans="3:19" x14ac:dyDescent="0.2">
      <c r="C339" s="268">
        <v>10</v>
      </c>
      <c r="D339" s="269" t="s">
        <v>32</v>
      </c>
      <c r="E339" s="270"/>
      <c r="F339" s="271"/>
      <c r="G339" s="39" t="s">
        <v>14</v>
      </c>
      <c r="H339" s="33">
        <v>46104</v>
      </c>
      <c r="I339" s="278"/>
      <c r="J339" s="273"/>
      <c r="K339" s="274"/>
      <c r="L339" s="274"/>
      <c r="M339" s="275"/>
      <c r="N339" s="276"/>
      <c r="O339" s="276"/>
      <c r="P339" s="277"/>
      <c r="Q339" s="26"/>
      <c r="R339" s="26"/>
      <c r="S339" s="37"/>
    </row>
    <row r="340" spans="3:19" x14ac:dyDescent="0.2">
      <c r="C340" s="268">
        <v>10</v>
      </c>
      <c r="D340" s="269" t="s">
        <v>32</v>
      </c>
      <c r="E340" s="270"/>
      <c r="F340" s="271"/>
      <c r="G340" s="39" t="s">
        <v>15</v>
      </c>
      <c r="H340" s="33">
        <v>46105</v>
      </c>
      <c r="I340" s="278"/>
      <c r="J340" s="273"/>
      <c r="K340" s="274"/>
      <c r="L340" s="274"/>
      <c r="M340" s="275"/>
      <c r="N340" s="276"/>
      <c r="O340" s="276"/>
      <c r="P340" s="277"/>
      <c r="Q340" s="26"/>
      <c r="R340" s="26"/>
      <c r="S340" s="37"/>
    </row>
    <row r="341" spans="3:19" x14ac:dyDescent="0.2">
      <c r="C341" s="268">
        <v>10</v>
      </c>
      <c r="D341" s="269" t="s">
        <v>32</v>
      </c>
      <c r="E341" s="270"/>
      <c r="F341" s="271"/>
      <c r="G341" s="39" t="s">
        <v>16</v>
      </c>
      <c r="H341" s="33">
        <v>46106</v>
      </c>
      <c r="I341" s="278"/>
      <c r="J341" s="273"/>
      <c r="K341" s="274"/>
      <c r="L341" s="274"/>
      <c r="M341" s="275"/>
      <c r="N341" s="276"/>
      <c r="O341" s="276"/>
      <c r="P341" s="277"/>
      <c r="Q341" s="26"/>
      <c r="R341" s="26"/>
      <c r="S341" s="37"/>
    </row>
    <row r="342" spans="3:19" x14ac:dyDescent="0.2">
      <c r="C342" s="268">
        <v>10</v>
      </c>
      <c r="D342" s="269" t="s">
        <v>32</v>
      </c>
      <c r="E342" s="270"/>
      <c r="F342" s="271"/>
      <c r="G342" s="39" t="s">
        <v>17</v>
      </c>
      <c r="H342" s="33">
        <v>46107</v>
      </c>
      <c r="I342" s="278"/>
      <c r="J342" s="273"/>
      <c r="K342" s="274"/>
      <c r="L342" s="274"/>
      <c r="M342" s="275"/>
      <c r="N342" s="276"/>
      <c r="O342" s="276"/>
      <c r="P342" s="277"/>
      <c r="Q342" s="26"/>
      <c r="R342" s="26"/>
      <c r="S342" s="37"/>
    </row>
    <row r="343" spans="3:19" x14ac:dyDescent="0.2">
      <c r="C343" s="268">
        <v>10</v>
      </c>
      <c r="D343" s="269" t="s">
        <v>32</v>
      </c>
      <c r="E343" s="270"/>
      <c r="F343" s="271"/>
      <c r="G343" s="39" t="s">
        <v>18</v>
      </c>
      <c r="H343" s="33">
        <v>46108</v>
      </c>
      <c r="I343" s="278"/>
      <c r="J343" s="273"/>
      <c r="K343" s="274"/>
      <c r="L343" s="274"/>
      <c r="M343" s="275"/>
      <c r="N343" s="276"/>
      <c r="O343" s="276"/>
      <c r="P343" s="277"/>
      <c r="Q343" s="26"/>
      <c r="R343" s="26"/>
      <c r="S343" s="37"/>
    </row>
    <row r="344" spans="3:19" x14ac:dyDescent="0.2">
      <c r="C344" s="268">
        <v>10</v>
      </c>
      <c r="D344" s="269" t="s">
        <v>32</v>
      </c>
      <c r="E344" s="270"/>
      <c r="F344" s="271"/>
      <c r="G344" s="39" t="s">
        <v>19</v>
      </c>
      <c r="H344" s="33">
        <v>46109</v>
      </c>
      <c r="I344" s="278"/>
      <c r="J344" s="273"/>
      <c r="K344" s="274"/>
      <c r="L344" s="274"/>
      <c r="M344" s="275"/>
      <c r="N344" s="276"/>
      <c r="O344" s="276"/>
      <c r="P344" s="277"/>
      <c r="Q344" s="26"/>
      <c r="R344" s="26"/>
      <c r="S344" s="37"/>
    </row>
    <row r="345" spans="3:19" x14ac:dyDescent="0.2">
      <c r="C345" s="268">
        <v>10</v>
      </c>
      <c r="D345" s="269" t="s">
        <v>32</v>
      </c>
      <c r="E345" s="270"/>
      <c r="F345" s="271"/>
      <c r="G345" s="46" t="s">
        <v>13</v>
      </c>
      <c r="H345" s="33">
        <v>46110</v>
      </c>
      <c r="I345" s="278"/>
      <c r="J345" s="273"/>
      <c r="K345" s="274"/>
      <c r="L345" s="274"/>
      <c r="M345" s="275"/>
      <c r="N345" s="276"/>
      <c r="O345" s="276"/>
      <c r="P345" s="277"/>
      <c r="Q345" s="26"/>
      <c r="R345" s="26"/>
      <c r="S345" s="37"/>
    </row>
    <row r="346" spans="3:19" x14ac:dyDescent="0.2">
      <c r="C346" s="268">
        <v>10</v>
      </c>
      <c r="D346" s="269" t="s">
        <v>32</v>
      </c>
      <c r="E346" s="270"/>
      <c r="F346" s="271"/>
      <c r="G346" s="39" t="s">
        <v>14</v>
      </c>
      <c r="H346" s="33">
        <v>46111</v>
      </c>
      <c r="I346" s="278"/>
      <c r="J346" s="273"/>
      <c r="K346" s="274"/>
      <c r="L346" s="274"/>
      <c r="M346" s="275"/>
      <c r="N346" s="276"/>
      <c r="O346" s="276"/>
      <c r="P346" s="277"/>
      <c r="Q346" s="26"/>
      <c r="R346" s="26"/>
      <c r="S346" s="37"/>
    </row>
    <row r="347" spans="3:19" x14ac:dyDescent="0.2">
      <c r="C347" s="268">
        <v>10</v>
      </c>
      <c r="D347" s="269" t="s">
        <v>32</v>
      </c>
      <c r="E347" s="270"/>
      <c r="F347" s="271"/>
      <c r="G347" s="39" t="s">
        <v>15</v>
      </c>
      <c r="H347" s="33">
        <v>46112</v>
      </c>
      <c r="I347" s="278"/>
      <c r="J347" s="273"/>
      <c r="K347" s="274"/>
      <c r="L347" s="274"/>
      <c r="M347" s="275"/>
      <c r="N347" s="276"/>
      <c r="O347" s="276"/>
      <c r="P347" s="277"/>
      <c r="Q347" s="26"/>
      <c r="R347" s="26"/>
      <c r="S347" s="37"/>
    </row>
    <row r="348" spans="3:19" x14ac:dyDescent="0.2">
      <c r="C348" s="280"/>
      <c r="D348" s="281"/>
      <c r="E348" s="282"/>
      <c r="F348" s="282"/>
      <c r="G348" s="283"/>
      <c r="H348" s="284"/>
      <c r="I348" s="285" t="str">
        <f>D317</f>
        <v>RIZKI SYAEFUL A</v>
      </c>
      <c r="J348" s="286" t="s">
        <v>20</v>
      </c>
      <c r="K348" s="287"/>
      <c r="L348" s="287"/>
      <c r="M348" s="288">
        <f>SUM(M317:M347)</f>
        <v>0</v>
      </c>
      <c r="N348" s="289">
        <f>SUM(N317:N347)</f>
        <v>0</v>
      </c>
      <c r="O348" s="289">
        <f>SUM(O331:O347)</f>
        <v>0</v>
      </c>
      <c r="P348" s="277"/>
      <c r="Q348" s="26"/>
      <c r="R348" s="26"/>
      <c r="S348" s="37"/>
    </row>
    <row r="349" spans="3:19" x14ac:dyDescent="0.2">
      <c r="C349" s="290"/>
      <c r="D349" s="291"/>
      <c r="E349" s="292"/>
      <c r="F349" s="292"/>
      <c r="G349" s="293"/>
      <c r="H349" s="294"/>
      <c r="I349" s="295"/>
      <c r="J349" s="295"/>
      <c r="K349" s="294"/>
      <c r="L349" s="294"/>
      <c r="M349" s="294"/>
      <c r="N349" s="296"/>
      <c r="O349" s="296"/>
      <c r="P349" s="297"/>
      <c r="Q349" s="26"/>
      <c r="R349" s="26"/>
      <c r="S349" s="37"/>
    </row>
    <row r="350" spans="3:19" x14ac:dyDescent="0.2">
      <c r="C350" s="58"/>
      <c r="D350" s="59"/>
      <c r="E350" s="60"/>
      <c r="F350" s="60"/>
      <c r="G350" s="61"/>
      <c r="H350" s="62"/>
      <c r="I350" s="63"/>
      <c r="J350" s="63"/>
      <c r="K350" s="62"/>
      <c r="L350" s="62"/>
      <c r="M350" s="62"/>
      <c r="N350" s="64"/>
      <c r="O350" s="64"/>
      <c r="P350" s="65"/>
      <c r="Q350" s="26"/>
      <c r="R350" s="26"/>
      <c r="S350" s="37"/>
    </row>
    <row r="351" spans="3:19" x14ac:dyDescent="0.2">
      <c r="C351" s="66" t="s">
        <v>1</v>
      </c>
      <c r="D351" s="67" t="s">
        <v>2</v>
      </c>
      <c r="E351" s="68" t="s">
        <v>3</v>
      </c>
      <c r="F351" s="68" t="s">
        <v>4</v>
      </c>
      <c r="G351" s="69" t="s">
        <v>5</v>
      </c>
      <c r="H351" s="68" t="s">
        <v>6</v>
      </c>
      <c r="I351" s="70" t="s">
        <v>7</v>
      </c>
      <c r="J351" s="70" t="s">
        <v>8</v>
      </c>
      <c r="K351" s="71"/>
      <c r="L351" s="72"/>
      <c r="M351" s="72" t="s">
        <v>9</v>
      </c>
      <c r="N351" s="73" t="s">
        <v>10</v>
      </c>
      <c r="O351" s="73" t="s">
        <v>11</v>
      </c>
      <c r="P351" s="198"/>
      <c r="Q351" s="26"/>
      <c r="R351" s="26"/>
      <c r="S351" s="37"/>
    </row>
    <row r="352" spans="3:19" x14ac:dyDescent="0.2">
      <c r="C352" s="298">
        <v>11</v>
      </c>
      <c r="D352" s="299" t="s">
        <v>33</v>
      </c>
      <c r="E352" s="300"/>
      <c r="F352" s="301"/>
      <c r="G352" s="32" t="s">
        <v>13</v>
      </c>
      <c r="H352" s="33">
        <v>46082</v>
      </c>
      <c r="I352" s="302"/>
      <c r="J352" s="303"/>
      <c r="K352" s="304"/>
      <c r="L352" s="304"/>
      <c r="M352" s="305"/>
      <c r="N352" s="306"/>
      <c r="O352" s="306"/>
      <c r="P352" s="307"/>
      <c r="Q352" s="26"/>
      <c r="R352" s="26"/>
      <c r="S352" s="37"/>
    </row>
    <row r="353" spans="3:19" x14ac:dyDescent="0.2">
      <c r="C353" s="298">
        <v>11</v>
      </c>
      <c r="D353" s="299" t="s">
        <v>33</v>
      </c>
      <c r="E353" s="300"/>
      <c r="F353" s="301"/>
      <c r="G353" s="29" t="s">
        <v>14</v>
      </c>
      <c r="H353" s="33">
        <v>46083</v>
      </c>
      <c r="I353" s="308">
        <v>0.32743055555555556</v>
      </c>
      <c r="J353" s="303"/>
      <c r="K353" s="304"/>
      <c r="L353" s="304"/>
      <c r="M353" s="305"/>
      <c r="N353" s="306"/>
      <c r="O353" s="306"/>
      <c r="P353" s="307"/>
      <c r="Q353" s="26"/>
      <c r="R353" s="26"/>
      <c r="S353" s="37"/>
    </row>
    <row r="354" spans="3:19" x14ac:dyDescent="0.2">
      <c r="C354" s="298">
        <v>11</v>
      </c>
      <c r="D354" s="299" t="s">
        <v>33</v>
      </c>
      <c r="E354" s="300"/>
      <c r="F354" s="301"/>
      <c r="G354" s="39" t="s">
        <v>15</v>
      </c>
      <c r="H354" s="33">
        <v>46084</v>
      </c>
      <c r="I354" s="309">
        <v>0.32890046296296299</v>
      </c>
      <c r="J354" s="303">
        <v>0.70973379629629629</v>
      </c>
      <c r="K354" s="304"/>
      <c r="L354" s="304"/>
      <c r="M354" s="305"/>
      <c r="N354" s="306"/>
      <c r="O354" s="306"/>
      <c r="P354" s="307"/>
      <c r="Q354" s="26"/>
      <c r="R354" s="26"/>
      <c r="S354" s="37"/>
    </row>
    <row r="355" spans="3:19" x14ac:dyDescent="0.2">
      <c r="C355" s="298">
        <v>11</v>
      </c>
      <c r="D355" s="299" t="s">
        <v>33</v>
      </c>
      <c r="E355" s="300"/>
      <c r="F355" s="301"/>
      <c r="G355" s="39" t="s">
        <v>16</v>
      </c>
      <c r="H355" s="33">
        <v>46085</v>
      </c>
      <c r="I355" s="309">
        <v>0.3298611111111111</v>
      </c>
      <c r="J355" s="303">
        <v>0.7109375</v>
      </c>
      <c r="K355" s="304"/>
      <c r="L355" s="304"/>
      <c r="M355" s="305"/>
      <c r="N355" s="306"/>
      <c r="O355" s="306"/>
      <c r="P355" s="307"/>
      <c r="Q355" s="26"/>
      <c r="R355" s="26"/>
      <c r="S355" s="37"/>
    </row>
    <row r="356" spans="3:19" x14ac:dyDescent="0.2">
      <c r="C356" s="298">
        <v>11</v>
      </c>
      <c r="D356" s="299" t="s">
        <v>33</v>
      </c>
      <c r="E356" s="300"/>
      <c r="F356" s="301"/>
      <c r="G356" s="39" t="s">
        <v>17</v>
      </c>
      <c r="H356" s="33">
        <v>46086</v>
      </c>
      <c r="I356" s="309">
        <v>0.32685185185185184</v>
      </c>
      <c r="J356" s="303">
        <v>0.80273148148148143</v>
      </c>
      <c r="K356" s="304"/>
      <c r="L356" s="304"/>
      <c r="M356" s="305">
        <v>2</v>
      </c>
      <c r="N356" s="306"/>
      <c r="O356" s="306"/>
      <c r="P356" s="307"/>
      <c r="Q356" s="26"/>
      <c r="R356" s="26"/>
      <c r="S356" s="37"/>
    </row>
    <row r="357" spans="3:19" x14ac:dyDescent="0.2">
      <c r="C357" s="298">
        <v>11</v>
      </c>
      <c r="D357" s="299" t="s">
        <v>33</v>
      </c>
      <c r="E357" s="300"/>
      <c r="F357" s="301"/>
      <c r="G357" s="45" t="s">
        <v>18</v>
      </c>
      <c r="H357" s="33">
        <v>46087</v>
      </c>
      <c r="I357" s="309">
        <v>0.3241087962962963</v>
      </c>
      <c r="J357" s="303">
        <v>0.71039351851851851</v>
      </c>
      <c r="K357" s="304"/>
      <c r="L357" s="304"/>
      <c r="M357" s="305"/>
      <c r="N357" s="306"/>
      <c r="O357" s="306"/>
      <c r="P357" s="307"/>
      <c r="Q357" s="26"/>
      <c r="R357" s="26"/>
      <c r="S357" s="37"/>
    </row>
    <row r="358" spans="3:19" x14ac:dyDescent="0.2">
      <c r="C358" s="298">
        <v>11</v>
      </c>
      <c r="D358" s="299" t="s">
        <v>33</v>
      </c>
      <c r="E358" s="300"/>
      <c r="F358" s="301"/>
      <c r="G358" s="39" t="s">
        <v>19</v>
      </c>
      <c r="H358" s="33">
        <v>46088</v>
      </c>
      <c r="I358" s="309">
        <v>0.32793981481481482</v>
      </c>
      <c r="J358" s="303">
        <v>0.54410879629629627</v>
      </c>
      <c r="K358" s="304"/>
      <c r="L358" s="304"/>
      <c r="M358" s="305"/>
      <c r="N358" s="306"/>
      <c r="O358" s="306"/>
      <c r="P358" s="307"/>
      <c r="Q358" s="26"/>
      <c r="R358" s="26"/>
      <c r="S358" s="37"/>
    </row>
    <row r="359" spans="3:19" x14ac:dyDescent="0.25">
      <c r="C359" s="298">
        <v>11</v>
      </c>
      <c r="D359" s="299" t="s">
        <v>33</v>
      </c>
      <c r="E359" s="300"/>
      <c r="F359" s="301"/>
      <c r="G359" s="46" t="s">
        <v>13</v>
      </c>
      <c r="H359" s="33">
        <v>46089</v>
      </c>
      <c r="I359" s="302"/>
      <c r="K359" s="304"/>
      <c r="L359" s="304"/>
      <c r="M359" s="305"/>
      <c r="N359" s="306"/>
      <c r="O359" s="306"/>
      <c r="P359" s="307"/>
      <c r="Q359" s="26"/>
      <c r="R359" s="26"/>
      <c r="S359" s="37"/>
    </row>
    <row r="360" spans="3:19" x14ac:dyDescent="0.25">
      <c r="C360" s="298">
        <v>11</v>
      </c>
      <c r="D360" s="299" t="s">
        <v>33</v>
      </c>
      <c r="E360" s="300"/>
      <c r="F360" s="301"/>
      <c r="G360" s="39" t="s">
        <v>14</v>
      </c>
      <c r="H360" s="33">
        <v>46090</v>
      </c>
      <c r="I360" s="5">
        <v>0.32628472222222221</v>
      </c>
      <c r="J360" s="309">
        <v>0.80245370370370372</v>
      </c>
      <c r="K360" s="304"/>
      <c r="L360" s="304"/>
      <c r="M360" s="305">
        <v>2</v>
      </c>
      <c r="N360" s="306"/>
      <c r="O360" s="306"/>
      <c r="P360" s="307"/>
      <c r="Q360" s="26"/>
      <c r="R360" s="26"/>
      <c r="S360" s="37"/>
    </row>
    <row r="361" spans="3:19" x14ac:dyDescent="0.2">
      <c r="C361" s="298">
        <v>11</v>
      </c>
      <c r="D361" s="299" t="s">
        <v>33</v>
      </c>
      <c r="E361" s="300"/>
      <c r="F361" s="301"/>
      <c r="G361" s="39" t="s">
        <v>15</v>
      </c>
      <c r="H361" s="33">
        <v>46091</v>
      </c>
      <c r="I361" s="308">
        <v>0.3273611111111111</v>
      </c>
      <c r="J361" s="303">
        <v>0.80268518518518517</v>
      </c>
      <c r="K361" s="304"/>
      <c r="L361" s="304"/>
      <c r="M361" s="305">
        <v>2</v>
      </c>
      <c r="N361" s="306"/>
      <c r="O361" s="306"/>
      <c r="P361" s="307"/>
      <c r="Q361" s="26"/>
      <c r="R361" s="26"/>
      <c r="S361" s="37"/>
    </row>
    <row r="362" spans="3:19" x14ac:dyDescent="0.2">
      <c r="C362" s="298">
        <v>11</v>
      </c>
      <c r="D362" s="299" t="s">
        <v>33</v>
      </c>
      <c r="E362" s="300"/>
      <c r="F362" s="301"/>
      <c r="G362" s="39" t="s">
        <v>16</v>
      </c>
      <c r="H362" s="33">
        <v>46092</v>
      </c>
      <c r="I362" s="309">
        <v>0.32642361111111112</v>
      </c>
      <c r="J362" s="303">
        <v>0.71005787037037038</v>
      </c>
      <c r="K362" s="304"/>
      <c r="L362" s="304"/>
      <c r="M362" s="305"/>
      <c r="N362" s="306"/>
      <c r="O362" s="306"/>
      <c r="P362" s="307"/>
      <c r="Q362" s="26"/>
      <c r="R362" s="26"/>
      <c r="S362" s="37"/>
    </row>
    <row r="363" spans="3:19" x14ac:dyDescent="0.2">
      <c r="C363" s="298">
        <v>11</v>
      </c>
      <c r="D363" s="299" t="s">
        <v>33</v>
      </c>
      <c r="E363" s="300"/>
      <c r="F363" s="301"/>
      <c r="G363" s="39" t="s">
        <v>17</v>
      </c>
      <c r="H363" s="33">
        <v>46093</v>
      </c>
      <c r="I363" s="309">
        <v>0.32774305555555555</v>
      </c>
      <c r="J363" s="303">
        <v>0.71133101851851854</v>
      </c>
      <c r="K363" s="304"/>
      <c r="L363" s="304"/>
      <c r="M363" s="305"/>
      <c r="N363" s="306"/>
      <c r="O363" s="306"/>
      <c r="P363" s="307"/>
      <c r="Q363" s="26"/>
      <c r="R363" s="26"/>
      <c r="S363" s="37"/>
    </row>
    <row r="364" spans="3:19" x14ac:dyDescent="0.2">
      <c r="C364" s="298">
        <v>11</v>
      </c>
      <c r="D364" s="299" t="s">
        <v>33</v>
      </c>
      <c r="E364" s="300"/>
      <c r="F364" s="301"/>
      <c r="G364" s="48" t="s">
        <v>18</v>
      </c>
      <c r="H364" s="33">
        <v>46094</v>
      </c>
      <c r="I364" s="308">
        <v>0.32479166666666665</v>
      </c>
      <c r="J364" s="303">
        <v>0.70937499999999998</v>
      </c>
      <c r="K364" s="304"/>
      <c r="L364" s="304"/>
      <c r="M364" s="305"/>
      <c r="N364" s="306"/>
      <c r="O364" s="306"/>
      <c r="P364" s="307"/>
      <c r="Q364" s="26"/>
      <c r="R364" s="26"/>
      <c r="S364" s="37"/>
    </row>
    <row r="365" spans="3:19" x14ac:dyDescent="0.2">
      <c r="C365" s="298">
        <v>11</v>
      </c>
      <c r="D365" s="299" t="s">
        <v>33</v>
      </c>
      <c r="E365" s="300"/>
      <c r="F365" s="301"/>
      <c r="G365" s="39" t="s">
        <v>19</v>
      </c>
      <c r="H365" s="33">
        <v>46095</v>
      </c>
      <c r="I365" s="309">
        <v>0.32807870370370368</v>
      </c>
      <c r="J365" s="303"/>
      <c r="K365" s="304"/>
      <c r="L365" s="304"/>
      <c r="M365" s="305"/>
      <c r="N365" s="306"/>
      <c r="O365" s="306"/>
      <c r="P365" s="307"/>
      <c r="Q365" s="26"/>
      <c r="R365" s="26"/>
      <c r="S365" s="37"/>
    </row>
    <row r="366" spans="3:19" x14ac:dyDescent="0.2">
      <c r="C366" s="298">
        <v>11</v>
      </c>
      <c r="D366" s="299" t="s">
        <v>33</v>
      </c>
      <c r="E366" s="300"/>
      <c r="F366" s="301"/>
      <c r="G366" s="46" t="s">
        <v>13</v>
      </c>
      <c r="H366" s="33">
        <v>46096</v>
      </c>
      <c r="I366" s="309"/>
      <c r="J366" s="303"/>
      <c r="K366" s="304"/>
      <c r="L366" s="304"/>
      <c r="M366" s="305"/>
      <c r="N366" s="306"/>
      <c r="O366" s="306"/>
      <c r="P366" s="44"/>
      <c r="Q366" s="26"/>
      <c r="R366" s="26"/>
      <c r="S366" s="37"/>
    </row>
    <row r="367" spans="3:19" x14ac:dyDescent="0.2">
      <c r="C367" s="298">
        <v>11</v>
      </c>
      <c r="D367" s="299" t="s">
        <v>33</v>
      </c>
      <c r="E367" s="300"/>
      <c r="F367" s="301"/>
      <c r="G367" s="39" t="s">
        <v>14</v>
      </c>
      <c r="H367" s="33">
        <v>46097</v>
      </c>
      <c r="I367" s="302"/>
      <c r="J367" s="303"/>
      <c r="K367" s="304"/>
      <c r="L367" s="304"/>
      <c r="M367" s="305"/>
      <c r="N367" s="306"/>
      <c r="O367" s="306"/>
      <c r="P367" s="307"/>
      <c r="Q367" s="26"/>
      <c r="R367" s="26"/>
      <c r="S367" s="37"/>
    </row>
    <row r="368" spans="3:19" x14ac:dyDescent="0.2">
      <c r="C368" s="298">
        <v>11</v>
      </c>
      <c r="D368" s="299" t="s">
        <v>33</v>
      </c>
      <c r="E368" s="300"/>
      <c r="F368" s="301"/>
      <c r="G368" s="39" t="s">
        <v>15</v>
      </c>
      <c r="H368" s="33">
        <v>46098</v>
      </c>
      <c r="I368" s="302"/>
      <c r="J368" s="303"/>
      <c r="K368" s="304"/>
      <c r="L368" s="304"/>
      <c r="M368" s="305"/>
      <c r="N368" s="306"/>
      <c r="O368" s="306"/>
      <c r="P368" s="307"/>
      <c r="Q368" s="26"/>
      <c r="R368" s="26"/>
      <c r="S368" s="37"/>
    </row>
    <row r="369" spans="3:19" x14ac:dyDescent="0.2">
      <c r="C369" s="298">
        <v>11</v>
      </c>
      <c r="D369" s="299" t="s">
        <v>33</v>
      </c>
      <c r="E369" s="300"/>
      <c r="F369" s="301"/>
      <c r="G369" s="39" t="s">
        <v>16</v>
      </c>
      <c r="H369" s="33">
        <v>46099</v>
      </c>
      <c r="I369" s="308"/>
      <c r="J369" s="303"/>
      <c r="K369" s="304"/>
      <c r="L369" s="304"/>
      <c r="M369" s="305"/>
      <c r="N369" s="306"/>
      <c r="O369" s="306"/>
      <c r="P369" s="307"/>
      <c r="Q369" s="26"/>
      <c r="R369" s="26"/>
      <c r="S369" s="37"/>
    </row>
    <row r="370" spans="3:19" x14ac:dyDescent="0.2">
      <c r="C370" s="298">
        <v>11</v>
      </c>
      <c r="D370" s="299" t="s">
        <v>33</v>
      </c>
      <c r="E370" s="300"/>
      <c r="F370" s="301"/>
      <c r="G370" s="39" t="s">
        <v>17</v>
      </c>
      <c r="H370" s="33">
        <v>46100</v>
      </c>
      <c r="I370" s="308"/>
      <c r="J370" s="303"/>
      <c r="K370" s="304"/>
      <c r="L370" s="304"/>
      <c r="M370" s="305"/>
      <c r="N370" s="306"/>
      <c r="O370" s="306"/>
      <c r="P370" s="307"/>
      <c r="Q370" s="26"/>
      <c r="R370" s="26"/>
      <c r="S370" s="37"/>
    </row>
    <row r="371" spans="3:19" x14ac:dyDescent="0.2">
      <c r="C371" s="298">
        <v>11</v>
      </c>
      <c r="D371" s="299" t="s">
        <v>33</v>
      </c>
      <c r="E371" s="300"/>
      <c r="F371" s="301"/>
      <c r="G371" s="39" t="s">
        <v>18</v>
      </c>
      <c r="H371" s="33">
        <v>46101</v>
      </c>
      <c r="I371" s="309"/>
      <c r="J371" s="303"/>
      <c r="K371" s="304"/>
      <c r="L371" s="304"/>
      <c r="M371" s="305"/>
      <c r="N371" s="306"/>
      <c r="O371" s="306"/>
      <c r="P371" s="307"/>
      <c r="Q371" s="26"/>
      <c r="R371" s="26"/>
      <c r="S371" s="37"/>
    </row>
    <row r="372" spans="3:19" x14ac:dyDescent="0.2">
      <c r="C372" s="298">
        <v>11</v>
      </c>
      <c r="D372" s="299" t="s">
        <v>33</v>
      </c>
      <c r="E372" s="300"/>
      <c r="F372" s="301"/>
      <c r="G372" s="39" t="s">
        <v>19</v>
      </c>
      <c r="H372" s="33">
        <v>46102</v>
      </c>
      <c r="I372" s="309"/>
      <c r="J372" s="303"/>
      <c r="K372" s="304"/>
      <c r="L372" s="304"/>
      <c r="M372" s="305"/>
      <c r="N372" s="306"/>
      <c r="O372" s="306"/>
      <c r="P372" s="307"/>
      <c r="Q372" s="26"/>
      <c r="R372" s="26"/>
      <c r="S372" s="37"/>
    </row>
    <row r="373" spans="3:19" x14ac:dyDescent="0.2">
      <c r="C373" s="298">
        <v>11</v>
      </c>
      <c r="D373" s="299" t="s">
        <v>33</v>
      </c>
      <c r="E373" s="300"/>
      <c r="F373" s="301"/>
      <c r="G373" s="46" t="s">
        <v>13</v>
      </c>
      <c r="H373" s="33">
        <v>46103</v>
      </c>
      <c r="I373" s="309"/>
      <c r="J373" s="303"/>
      <c r="K373" s="304"/>
      <c r="L373" s="304"/>
      <c r="M373" s="305"/>
      <c r="N373" s="306"/>
      <c r="O373" s="306"/>
      <c r="P373" s="307"/>
      <c r="Q373" s="26"/>
      <c r="R373" s="26"/>
      <c r="S373" s="37"/>
    </row>
    <row r="374" spans="3:19" x14ac:dyDescent="0.2">
      <c r="C374" s="298">
        <v>11</v>
      </c>
      <c r="D374" s="299" t="s">
        <v>33</v>
      </c>
      <c r="E374" s="300"/>
      <c r="F374" s="301"/>
      <c r="G374" s="39" t="s">
        <v>14</v>
      </c>
      <c r="H374" s="33">
        <v>46104</v>
      </c>
      <c r="I374" s="308"/>
      <c r="J374" s="303"/>
      <c r="K374" s="304"/>
      <c r="L374" s="304"/>
      <c r="M374" s="305"/>
      <c r="N374" s="306"/>
      <c r="O374" s="306"/>
      <c r="P374" s="307"/>
      <c r="Q374" s="26"/>
      <c r="R374" s="26"/>
      <c r="S374" s="37"/>
    </row>
    <row r="375" spans="3:19" x14ac:dyDescent="0.2">
      <c r="C375" s="298">
        <v>11</v>
      </c>
      <c r="D375" s="299" t="s">
        <v>33</v>
      </c>
      <c r="E375" s="300"/>
      <c r="F375" s="301"/>
      <c r="G375" s="39" t="s">
        <v>15</v>
      </c>
      <c r="H375" s="33">
        <v>46105</v>
      </c>
      <c r="I375" s="309"/>
      <c r="J375" s="303"/>
      <c r="K375" s="304"/>
      <c r="L375" s="304"/>
      <c r="M375" s="305"/>
      <c r="N375" s="306"/>
      <c r="O375" s="306"/>
      <c r="P375" s="307"/>
      <c r="Q375" s="26"/>
      <c r="R375" s="26"/>
      <c r="S375" s="37"/>
    </row>
    <row r="376" spans="3:19" x14ac:dyDescent="0.2">
      <c r="C376" s="298">
        <v>11</v>
      </c>
      <c r="D376" s="299" t="s">
        <v>33</v>
      </c>
      <c r="E376" s="300"/>
      <c r="F376" s="301"/>
      <c r="G376" s="39" t="s">
        <v>16</v>
      </c>
      <c r="H376" s="33">
        <v>46106</v>
      </c>
      <c r="I376" s="309"/>
      <c r="J376" s="303"/>
      <c r="K376" s="304"/>
      <c r="L376" s="304"/>
      <c r="M376" s="305"/>
      <c r="N376" s="306"/>
      <c r="O376" s="306"/>
      <c r="P376" s="307"/>
      <c r="Q376" s="26"/>
      <c r="R376" s="26"/>
      <c r="S376" s="37"/>
    </row>
    <row r="377" spans="3:19" x14ac:dyDescent="0.2">
      <c r="C377" s="298">
        <v>11</v>
      </c>
      <c r="D377" s="299" t="s">
        <v>33</v>
      </c>
      <c r="E377" s="300"/>
      <c r="F377" s="301"/>
      <c r="G377" s="39" t="s">
        <v>17</v>
      </c>
      <c r="H377" s="33">
        <v>46107</v>
      </c>
      <c r="I377" s="308"/>
      <c r="J377" s="303"/>
      <c r="K377" s="304"/>
      <c r="L377" s="304"/>
      <c r="M377" s="305"/>
      <c r="N377" s="306"/>
      <c r="O377" s="306"/>
      <c r="P377" s="307"/>
      <c r="Q377" s="26"/>
      <c r="R377" s="26"/>
      <c r="S377" s="37"/>
    </row>
    <row r="378" spans="3:19" x14ac:dyDescent="0.2">
      <c r="C378" s="298">
        <v>11</v>
      </c>
      <c r="D378" s="299" t="s">
        <v>33</v>
      </c>
      <c r="E378" s="300"/>
      <c r="F378" s="301"/>
      <c r="G378" s="39" t="s">
        <v>18</v>
      </c>
      <c r="H378" s="33">
        <v>46108</v>
      </c>
      <c r="I378" s="309"/>
      <c r="J378" s="303"/>
      <c r="K378" s="304"/>
      <c r="L378" s="304"/>
      <c r="M378" s="305"/>
      <c r="N378" s="306"/>
      <c r="O378" s="306"/>
      <c r="P378" s="307"/>
      <c r="Q378" s="26"/>
      <c r="R378" s="26"/>
      <c r="S378" s="37"/>
    </row>
    <row r="379" spans="3:19" x14ac:dyDescent="0.2">
      <c r="C379" s="298">
        <v>11</v>
      </c>
      <c r="D379" s="299" t="s">
        <v>33</v>
      </c>
      <c r="E379" s="300"/>
      <c r="F379" s="301"/>
      <c r="G379" s="39" t="s">
        <v>19</v>
      </c>
      <c r="H379" s="33">
        <v>46109</v>
      </c>
      <c r="I379" s="309"/>
      <c r="J379" s="303"/>
      <c r="K379" s="304"/>
      <c r="L379" s="304"/>
      <c r="M379" s="305"/>
      <c r="N379" s="306"/>
      <c r="O379" s="306"/>
      <c r="P379" s="307"/>
      <c r="Q379" s="26"/>
      <c r="R379" s="26"/>
      <c r="S379" s="37"/>
    </row>
    <row r="380" spans="3:19" x14ac:dyDescent="0.2">
      <c r="C380" s="298">
        <v>11</v>
      </c>
      <c r="D380" s="299" t="s">
        <v>33</v>
      </c>
      <c r="E380" s="300"/>
      <c r="F380" s="301"/>
      <c r="G380" s="46" t="s">
        <v>13</v>
      </c>
      <c r="H380" s="33">
        <v>46110</v>
      </c>
      <c r="I380" s="309"/>
      <c r="J380" s="303"/>
      <c r="K380" s="304"/>
      <c r="L380" s="304"/>
      <c r="M380" s="305"/>
      <c r="N380" s="306"/>
      <c r="O380" s="306"/>
      <c r="P380" s="307"/>
      <c r="Q380" s="26"/>
      <c r="R380" s="26"/>
      <c r="S380" s="37"/>
    </row>
    <row r="381" spans="3:19" x14ac:dyDescent="0.2">
      <c r="C381" s="298">
        <v>11</v>
      </c>
      <c r="D381" s="299" t="s">
        <v>33</v>
      </c>
      <c r="E381" s="300"/>
      <c r="F381" s="301"/>
      <c r="G381" s="39" t="s">
        <v>14</v>
      </c>
      <c r="H381" s="33">
        <v>46111</v>
      </c>
      <c r="I381" s="309"/>
      <c r="J381" s="303"/>
      <c r="K381" s="304"/>
      <c r="L381" s="304"/>
      <c r="M381" s="305"/>
      <c r="N381" s="306"/>
      <c r="O381" s="306"/>
      <c r="P381" s="307"/>
      <c r="Q381" s="26"/>
      <c r="R381" s="26"/>
      <c r="S381" s="37"/>
    </row>
    <row r="382" spans="3:19" x14ac:dyDescent="0.2">
      <c r="C382" s="298">
        <v>11</v>
      </c>
      <c r="D382" s="299" t="s">
        <v>33</v>
      </c>
      <c r="E382" s="300"/>
      <c r="F382" s="301"/>
      <c r="G382" s="39" t="s">
        <v>15</v>
      </c>
      <c r="H382" s="33">
        <v>46112</v>
      </c>
      <c r="I382" s="309"/>
      <c r="J382" s="303"/>
      <c r="K382" s="304"/>
      <c r="L382" s="304"/>
      <c r="M382" s="305"/>
      <c r="N382" s="306"/>
      <c r="O382" s="306"/>
      <c r="P382" s="307"/>
      <c r="Q382" s="26"/>
      <c r="R382" s="26"/>
      <c r="S382" s="37"/>
    </row>
    <row r="383" spans="3:19" x14ac:dyDescent="0.2">
      <c r="C383" s="310"/>
      <c r="D383" s="311"/>
      <c r="E383" s="312"/>
      <c r="F383" s="312"/>
      <c r="G383" s="313"/>
      <c r="H383" s="314"/>
      <c r="I383" s="315" t="str">
        <f>D355</f>
        <v>ATTHOUR ROHMAN</v>
      </c>
      <c r="J383" s="316" t="s">
        <v>20</v>
      </c>
      <c r="K383" s="317"/>
      <c r="L383" s="317"/>
      <c r="M383" s="318">
        <f>SUM(M352:M382)</f>
        <v>6</v>
      </c>
      <c r="N383" s="318">
        <f t="shared" ref="N383:O383" si="9">SUM(N352:N382)</f>
        <v>0</v>
      </c>
      <c r="O383" s="318">
        <f t="shared" si="9"/>
        <v>0</v>
      </c>
      <c r="P383" s="307"/>
      <c r="Q383" s="26"/>
      <c r="R383" s="26"/>
      <c r="S383" s="37"/>
    </row>
    <row r="384" spans="3:19" x14ac:dyDescent="0.2"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 s="26"/>
      <c r="S384" s="37"/>
    </row>
    <row r="385" spans="3:19" x14ac:dyDescent="0.2"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 s="26"/>
      <c r="S385" s="37"/>
    </row>
    <row r="386" spans="3:19" x14ac:dyDescent="0.2">
      <c r="C386" s="66" t="s">
        <v>1</v>
      </c>
      <c r="D386" s="67" t="s">
        <v>2</v>
      </c>
      <c r="E386" s="68" t="s">
        <v>3</v>
      </c>
      <c r="F386" s="68" t="s">
        <v>4</v>
      </c>
      <c r="G386" s="69" t="s">
        <v>5</v>
      </c>
      <c r="H386" s="68" t="s">
        <v>6</v>
      </c>
      <c r="I386" s="70" t="s">
        <v>7</v>
      </c>
      <c r="J386" s="70" t="s">
        <v>8</v>
      </c>
      <c r="K386" s="71"/>
      <c r="L386" s="72"/>
      <c r="M386" s="72" t="s">
        <v>9</v>
      </c>
      <c r="N386" s="73" t="s">
        <v>10</v>
      </c>
      <c r="O386" s="73" t="s">
        <v>11</v>
      </c>
      <c r="P386" s="307"/>
      <c r="Q386" s="26"/>
      <c r="R386" s="26"/>
      <c r="S386" s="37"/>
    </row>
    <row r="387" spans="3:19" x14ac:dyDescent="0.2">
      <c r="C387" s="298">
        <v>12</v>
      </c>
      <c r="D387" s="299" t="s">
        <v>34</v>
      </c>
      <c r="E387" s="319" t="s">
        <v>22</v>
      </c>
      <c r="F387" s="320" t="s">
        <v>22</v>
      </c>
      <c r="G387" s="32" t="s">
        <v>13</v>
      </c>
      <c r="H387" s="33">
        <v>46082</v>
      </c>
      <c r="I387" s="302"/>
      <c r="J387" s="303"/>
      <c r="K387" s="304"/>
      <c r="L387" s="304"/>
      <c r="M387" s="305"/>
      <c r="N387" s="306"/>
      <c r="O387" s="306"/>
      <c r="P387" s="307"/>
      <c r="Q387" s="26"/>
      <c r="R387" s="26"/>
      <c r="S387" s="37"/>
    </row>
    <row r="388" spans="3:19" x14ac:dyDescent="0.2">
      <c r="C388" s="298">
        <v>12</v>
      </c>
      <c r="D388" s="299" t="s">
        <v>34</v>
      </c>
      <c r="E388" s="319" t="s">
        <v>22</v>
      </c>
      <c r="F388" s="320" t="s">
        <v>22</v>
      </c>
      <c r="G388" s="29" t="s">
        <v>14</v>
      </c>
      <c r="H388" s="33">
        <v>46083</v>
      </c>
      <c r="I388" s="302"/>
      <c r="J388" s="303"/>
      <c r="K388" s="304"/>
      <c r="L388" s="304"/>
      <c r="M388" s="305"/>
      <c r="N388" s="306"/>
      <c r="O388" s="306"/>
      <c r="P388" s="307"/>
      <c r="Q388" s="26"/>
      <c r="R388" s="26"/>
      <c r="S388" s="37"/>
    </row>
    <row r="389" spans="3:19" x14ac:dyDescent="0.2">
      <c r="C389" s="298">
        <v>12</v>
      </c>
      <c r="D389" s="299" t="s">
        <v>34</v>
      </c>
      <c r="E389" s="319" t="s">
        <v>22</v>
      </c>
      <c r="F389" s="320" t="s">
        <v>22</v>
      </c>
      <c r="G389" s="39" t="s">
        <v>15</v>
      </c>
      <c r="H389" s="33">
        <v>46084</v>
      </c>
      <c r="I389" s="309">
        <v>0.70767361111111116</v>
      </c>
      <c r="J389" s="303">
        <v>0.12533564814814815</v>
      </c>
      <c r="K389" s="304"/>
      <c r="L389" s="304"/>
      <c r="M389" s="305"/>
      <c r="N389" s="306"/>
      <c r="O389" s="306"/>
      <c r="P389" s="307"/>
      <c r="Q389" s="26"/>
      <c r="R389" s="26"/>
      <c r="S389" s="37"/>
    </row>
    <row r="390" spans="3:19" x14ac:dyDescent="0.2">
      <c r="C390" s="298">
        <v>12</v>
      </c>
      <c r="D390" s="299" t="s">
        <v>34</v>
      </c>
      <c r="E390" s="319" t="s">
        <v>22</v>
      </c>
      <c r="F390" s="320" t="s">
        <v>22</v>
      </c>
      <c r="G390" s="39" t="s">
        <v>16</v>
      </c>
      <c r="H390" s="33">
        <v>46085</v>
      </c>
      <c r="I390" s="309">
        <v>0.73509259259259263</v>
      </c>
      <c r="J390" s="303">
        <v>0.12516203703703704</v>
      </c>
      <c r="K390" s="304"/>
      <c r="L390" s="304"/>
      <c r="M390" s="305"/>
      <c r="N390" s="306"/>
      <c r="O390" s="306"/>
      <c r="P390" s="307"/>
      <c r="Q390" s="26"/>
      <c r="R390" s="26"/>
      <c r="S390" s="37"/>
    </row>
    <row r="391" spans="3:19" x14ac:dyDescent="0.2">
      <c r="C391" s="298">
        <v>12</v>
      </c>
      <c r="D391" s="299" t="s">
        <v>34</v>
      </c>
      <c r="E391" s="319" t="s">
        <v>22</v>
      </c>
      <c r="F391" s="320" t="s">
        <v>22</v>
      </c>
      <c r="G391" s="39" t="s">
        <v>17</v>
      </c>
      <c r="H391" s="33">
        <v>46086</v>
      </c>
      <c r="I391" s="309">
        <v>0.70229166666666665</v>
      </c>
      <c r="J391" s="303">
        <v>0.12541666666666665</v>
      </c>
      <c r="K391" s="304"/>
      <c r="L391" s="304"/>
      <c r="M391" s="305"/>
      <c r="N391" s="306"/>
      <c r="O391" s="306"/>
      <c r="P391" s="307"/>
      <c r="Q391" s="26"/>
      <c r="R391" s="26"/>
      <c r="S391" s="37"/>
    </row>
    <row r="392" spans="3:19" x14ac:dyDescent="0.2">
      <c r="C392" s="298">
        <v>12</v>
      </c>
      <c r="D392" s="299" t="s">
        <v>34</v>
      </c>
      <c r="E392" s="319"/>
      <c r="F392" s="320"/>
      <c r="G392" s="45" t="s">
        <v>18</v>
      </c>
      <c r="H392" s="33">
        <v>46087</v>
      </c>
      <c r="I392" s="309">
        <v>0.70560185185185187</v>
      </c>
      <c r="J392" s="303">
        <v>0.12920138888888888</v>
      </c>
      <c r="K392" s="304"/>
      <c r="L392" s="304"/>
      <c r="M392" s="305"/>
      <c r="N392" s="306"/>
      <c r="O392" s="306"/>
      <c r="P392" s="307"/>
      <c r="Q392" s="26"/>
      <c r="R392" s="26"/>
      <c r="S392" s="37"/>
    </row>
    <row r="393" spans="3:19" x14ac:dyDescent="0.2">
      <c r="C393" s="298">
        <v>12</v>
      </c>
      <c r="D393" s="299" t="s">
        <v>34</v>
      </c>
      <c r="E393" s="319"/>
      <c r="F393" s="320"/>
      <c r="G393" s="39" t="s">
        <v>19</v>
      </c>
      <c r="H393" s="33">
        <v>46088</v>
      </c>
      <c r="I393" s="309">
        <v>0.53660879629629632</v>
      </c>
      <c r="J393" s="303">
        <v>0.66675925925925927</v>
      </c>
      <c r="K393" s="304"/>
      <c r="L393" s="304"/>
      <c r="M393" s="305"/>
      <c r="N393" s="306"/>
      <c r="O393" s="306"/>
      <c r="P393" s="307"/>
      <c r="Q393" s="26"/>
      <c r="R393" s="26"/>
      <c r="S393" s="37"/>
    </row>
    <row r="394" spans="3:19" x14ac:dyDescent="0.25">
      <c r="C394" s="298">
        <v>12</v>
      </c>
      <c r="D394" s="299" t="s">
        <v>34</v>
      </c>
      <c r="E394" s="319"/>
      <c r="F394" s="320"/>
      <c r="G394" s="46" t="s">
        <v>13</v>
      </c>
      <c r="H394" s="33">
        <v>46089</v>
      </c>
      <c r="I394" s="302">
        <v>0.3498148148148148</v>
      </c>
      <c r="J394" s="5">
        <v>0.66723379629629631</v>
      </c>
      <c r="K394" s="304"/>
      <c r="L394" s="304"/>
      <c r="M394" s="305"/>
      <c r="N394" s="306"/>
      <c r="O394" s="306"/>
      <c r="P394" s="307"/>
      <c r="Q394" s="26"/>
      <c r="R394" s="26"/>
      <c r="S394" s="37"/>
    </row>
    <row r="395" spans="3:19" x14ac:dyDescent="0.25">
      <c r="C395" s="298">
        <v>12</v>
      </c>
      <c r="D395" s="299" t="s">
        <v>34</v>
      </c>
      <c r="E395" s="319" t="s">
        <v>22</v>
      </c>
      <c r="F395" s="320" t="s">
        <v>22</v>
      </c>
      <c r="G395" s="39" t="s">
        <v>14</v>
      </c>
      <c r="H395" s="33">
        <v>46090</v>
      </c>
      <c r="I395" s="321">
        <v>0.35416666666666669</v>
      </c>
      <c r="J395" s="309">
        <v>0.80232638888888885</v>
      </c>
      <c r="K395" s="304"/>
      <c r="L395" s="304"/>
      <c r="M395" s="305">
        <v>2</v>
      </c>
      <c r="N395" s="306"/>
      <c r="O395" s="306"/>
      <c r="P395" s="307"/>
      <c r="Q395" s="26"/>
      <c r="R395" s="26"/>
      <c r="S395" s="37"/>
    </row>
    <row r="396" spans="3:19" x14ac:dyDescent="0.2">
      <c r="C396" s="298">
        <v>12</v>
      </c>
      <c r="D396" s="299" t="s">
        <v>34</v>
      </c>
      <c r="E396" s="319" t="s">
        <v>22</v>
      </c>
      <c r="F396" s="320" t="s">
        <v>22</v>
      </c>
      <c r="G396" s="39" t="s">
        <v>15</v>
      </c>
      <c r="H396" s="33">
        <v>46091</v>
      </c>
      <c r="I396" s="308">
        <v>0.33266203703703706</v>
      </c>
      <c r="J396" s="303">
        <v>0.81100694444444443</v>
      </c>
      <c r="K396" s="304"/>
      <c r="L396" s="304"/>
      <c r="M396" s="305">
        <v>2</v>
      </c>
      <c r="N396" s="306"/>
      <c r="O396" s="306"/>
      <c r="P396" s="307"/>
      <c r="Q396" s="26"/>
      <c r="R396" s="26"/>
      <c r="S396" s="37"/>
    </row>
    <row r="397" spans="3:19" x14ac:dyDescent="0.2">
      <c r="C397" s="298">
        <v>12</v>
      </c>
      <c r="D397" s="299" t="s">
        <v>34</v>
      </c>
      <c r="E397" s="319" t="s">
        <v>22</v>
      </c>
      <c r="F397" s="320" t="s">
        <v>22</v>
      </c>
      <c r="G397" s="39" t="s">
        <v>16</v>
      </c>
      <c r="H397" s="33">
        <v>46092</v>
      </c>
      <c r="I397" s="309">
        <v>0.33166666666666667</v>
      </c>
      <c r="J397" s="303">
        <v>0.71377314814814818</v>
      </c>
      <c r="K397" s="304"/>
      <c r="L397" s="304"/>
      <c r="M397" s="305"/>
      <c r="N397" s="306"/>
      <c r="O397" s="306"/>
      <c r="P397" s="307"/>
      <c r="Q397" s="26"/>
      <c r="R397" s="26"/>
      <c r="S397" s="37"/>
    </row>
    <row r="398" spans="3:19" x14ac:dyDescent="0.2">
      <c r="C398" s="298">
        <v>12</v>
      </c>
      <c r="D398" s="299" t="s">
        <v>34</v>
      </c>
      <c r="E398" s="319" t="s">
        <v>22</v>
      </c>
      <c r="F398" s="320" t="s">
        <v>22</v>
      </c>
      <c r="G398" s="39" t="s">
        <v>17</v>
      </c>
      <c r="H398" s="33">
        <v>46093</v>
      </c>
      <c r="I398" s="309">
        <v>0.33144675925925926</v>
      </c>
      <c r="J398" s="303">
        <v>0.70942129629629624</v>
      </c>
      <c r="K398" s="304"/>
      <c r="L398" s="304"/>
      <c r="M398" s="305"/>
      <c r="N398" s="306"/>
      <c r="O398" s="306"/>
      <c r="P398" s="307"/>
      <c r="Q398" s="26"/>
      <c r="R398" s="26"/>
      <c r="S398" s="37"/>
    </row>
    <row r="399" spans="3:19" x14ac:dyDescent="0.2">
      <c r="C399" s="298">
        <v>12</v>
      </c>
      <c r="D399" s="299" t="s">
        <v>34</v>
      </c>
      <c r="E399" s="319" t="s">
        <v>22</v>
      </c>
      <c r="F399" s="320" t="s">
        <v>22</v>
      </c>
      <c r="G399" s="48" t="s">
        <v>18</v>
      </c>
      <c r="H399" s="33">
        <v>46094</v>
      </c>
      <c r="I399" s="302">
        <v>0.34461805555555558</v>
      </c>
      <c r="J399" s="303">
        <v>0.70974537037037033</v>
      </c>
      <c r="K399" s="304"/>
      <c r="L399" s="304"/>
      <c r="M399" s="305"/>
      <c r="N399" s="306"/>
      <c r="O399" s="306"/>
      <c r="P399" s="307"/>
      <c r="Q399" s="26"/>
      <c r="R399" s="26"/>
      <c r="S399" s="37"/>
    </row>
    <row r="400" spans="3:19" x14ac:dyDescent="0.2">
      <c r="C400" s="298">
        <v>12</v>
      </c>
      <c r="D400" s="299" t="s">
        <v>34</v>
      </c>
      <c r="E400" s="319" t="s">
        <v>22</v>
      </c>
      <c r="F400" s="320" t="s">
        <v>22</v>
      </c>
      <c r="G400" s="39" t="s">
        <v>19</v>
      </c>
      <c r="H400" s="33">
        <v>46095</v>
      </c>
      <c r="I400" s="309">
        <v>0.33203703703703707</v>
      </c>
      <c r="J400" s="303"/>
      <c r="K400" s="304"/>
      <c r="L400" s="304"/>
      <c r="M400" s="305"/>
      <c r="N400" s="306"/>
      <c r="O400" s="306"/>
      <c r="P400" s="307"/>
      <c r="Q400" s="26"/>
      <c r="R400" s="26"/>
      <c r="S400" s="37"/>
    </row>
    <row r="401" spans="3:19" x14ac:dyDescent="0.2">
      <c r="C401" s="298">
        <v>12</v>
      </c>
      <c r="D401" s="299" t="s">
        <v>34</v>
      </c>
      <c r="E401" s="319"/>
      <c r="F401" s="320"/>
      <c r="G401" s="46" t="s">
        <v>13</v>
      </c>
      <c r="H401" s="33">
        <v>46096</v>
      </c>
      <c r="I401" s="309"/>
      <c r="J401" s="303"/>
      <c r="K401" s="304"/>
      <c r="L401" s="304"/>
      <c r="M401" s="305"/>
      <c r="N401" s="306"/>
      <c r="O401" s="306"/>
      <c r="P401" s="44"/>
      <c r="Q401" s="26"/>
      <c r="R401" s="26"/>
      <c r="S401" s="37"/>
    </row>
    <row r="402" spans="3:19" x14ac:dyDescent="0.2">
      <c r="C402" s="298">
        <v>12</v>
      </c>
      <c r="D402" s="299" t="s">
        <v>34</v>
      </c>
      <c r="E402" s="319"/>
      <c r="F402" s="320"/>
      <c r="G402" s="39" t="s">
        <v>14</v>
      </c>
      <c r="H402" s="33">
        <v>46097</v>
      </c>
      <c r="I402" s="302"/>
      <c r="J402" s="303"/>
      <c r="K402" s="304"/>
      <c r="L402" s="304"/>
      <c r="M402" s="305"/>
      <c r="N402" s="306"/>
      <c r="O402" s="306"/>
      <c r="P402" s="307"/>
      <c r="Q402" s="26"/>
      <c r="R402" s="26"/>
      <c r="S402" s="37"/>
    </row>
    <row r="403" spans="3:19" x14ac:dyDescent="0.2">
      <c r="C403" s="298">
        <v>12</v>
      </c>
      <c r="D403" s="299" t="s">
        <v>34</v>
      </c>
      <c r="E403" s="319"/>
      <c r="F403" s="320"/>
      <c r="G403" s="39" t="s">
        <v>15</v>
      </c>
      <c r="H403" s="33">
        <v>46098</v>
      </c>
      <c r="I403" s="302"/>
      <c r="J403" s="303"/>
      <c r="K403" s="304"/>
      <c r="L403" s="304"/>
      <c r="M403" s="305"/>
      <c r="N403" s="306"/>
      <c r="O403" s="306"/>
      <c r="P403" s="307"/>
      <c r="Q403" s="26"/>
      <c r="R403" s="26"/>
      <c r="S403" s="37"/>
    </row>
    <row r="404" spans="3:19" x14ac:dyDescent="0.2">
      <c r="C404" s="298">
        <v>12</v>
      </c>
      <c r="D404" s="299" t="s">
        <v>34</v>
      </c>
      <c r="E404" s="319"/>
      <c r="F404" s="320"/>
      <c r="G404" s="39" t="s">
        <v>16</v>
      </c>
      <c r="H404" s="33">
        <v>46099</v>
      </c>
      <c r="I404" s="308"/>
      <c r="J404" s="303"/>
      <c r="K404" s="304"/>
      <c r="L404" s="304"/>
      <c r="M404" s="305"/>
      <c r="N404" s="306"/>
      <c r="O404" s="306"/>
      <c r="P404" s="307"/>
      <c r="Q404" s="26"/>
      <c r="R404" s="26"/>
      <c r="S404" s="37"/>
    </row>
    <row r="405" spans="3:19" x14ac:dyDescent="0.2">
      <c r="C405" s="298">
        <v>12</v>
      </c>
      <c r="D405" s="299" t="s">
        <v>34</v>
      </c>
      <c r="E405" s="319"/>
      <c r="F405" s="320"/>
      <c r="G405" s="39" t="s">
        <v>17</v>
      </c>
      <c r="H405" s="33">
        <v>46100</v>
      </c>
      <c r="I405" s="308"/>
      <c r="J405" s="303"/>
      <c r="K405" s="304"/>
      <c r="L405" s="304"/>
      <c r="M405" s="305"/>
      <c r="N405" s="306"/>
      <c r="O405" s="306"/>
      <c r="P405" s="307"/>
      <c r="Q405" s="26"/>
      <c r="R405" s="26"/>
      <c r="S405" s="37"/>
    </row>
    <row r="406" spans="3:19" x14ac:dyDescent="0.2">
      <c r="C406" s="298">
        <v>12</v>
      </c>
      <c r="D406" s="299" t="s">
        <v>34</v>
      </c>
      <c r="E406" s="319"/>
      <c r="F406" s="320"/>
      <c r="G406" s="39" t="s">
        <v>18</v>
      </c>
      <c r="H406" s="33">
        <v>46101</v>
      </c>
      <c r="I406" s="309"/>
      <c r="J406" s="303"/>
      <c r="K406" s="304"/>
      <c r="L406" s="304"/>
      <c r="M406" s="305"/>
      <c r="N406" s="306"/>
      <c r="O406" s="306"/>
      <c r="P406" s="307"/>
      <c r="Q406" s="26"/>
      <c r="R406" s="26"/>
      <c r="S406" s="37"/>
    </row>
    <row r="407" spans="3:19" x14ac:dyDescent="0.2">
      <c r="C407" s="298">
        <v>12</v>
      </c>
      <c r="D407" s="299" t="s">
        <v>34</v>
      </c>
      <c r="E407" s="319"/>
      <c r="F407" s="320"/>
      <c r="G407" s="39" t="s">
        <v>19</v>
      </c>
      <c r="H407" s="33">
        <v>46102</v>
      </c>
      <c r="I407" s="309"/>
      <c r="J407" s="303"/>
      <c r="K407" s="304"/>
      <c r="L407" s="304"/>
      <c r="M407" s="305"/>
      <c r="N407" s="306"/>
      <c r="O407" s="306"/>
      <c r="P407" s="307"/>
      <c r="Q407" s="26"/>
      <c r="R407" s="26"/>
      <c r="S407" s="37"/>
    </row>
    <row r="408" spans="3:19" x14ac:dyDescent="0.2">
      <c r="C408" s="298">
        <v>12</v>
      </c>
      <c r="D408" s="299" t="s">
        <v>34</v>
      </c>
      <c r="E408" s="319"/>
      <c r="F408" s="320"/>
      <c r="G408" s="46" t="s">
        <v>13</v>
      </c>
      <c r="H408" s="33">
        <v>46103</v>
      </c>
      <c r="I408" s="309"/>
      <c r="J408" s="303"/>
      <c r="K408" s="304"/>
      <c r="L408" s="304"/>
      <c r="M408" s="305"/>
      <c r="N408" s="306"/>
      <c r="O408" s="306"/>
      <c r="P408" s="307"/>
      <c r="Q408" s="26"/>
      <c r="R408" s="26"/>
      <c r="S408" s="37"/>
    </row>
    <row r="409" spans="3:19" x14ac:dyDescent="0.2">
      <c r="C409" s="298">
        <v>12</v>
      </c>
      <c r="D409" s="299" t="s">
        <v>34</v>
      </c>
      <c r="E409" s="319"/>
      <c r="F409" s="320"/>
      <c r="G409" s="39" t="s">
        <v>14</v>
      </c>
      <c r="H409" s="33">
        <v>46104</v>
      </c>
      <c r="I409" s="308"/>
      <c r="J409" s="303"/>
      <c r="K409" s="304"/>
      <c r="L409" s="304"/>
      <c r="M409" s="305"/>
      <c r="N409" s="306"/>
      <c r="O409" s="306"/>
      <c r="P409" s="307"/>
      <c r="Q409" s="26"/>
      <c r="R409" s="26"/>
      <c r="S409" s="37"/>
    </row>
    <row r="410" spans="3:19" x14ac:dyDescent="0.2">
      <c r="C410" s="298">
        <v>12</v>
      </c>
      <c r="D410" s="299" t="s">
        <v>34</v>
      </c>
      <c r="E410" s="319"/>
      <c r="F410" s="320"/>
      <c r="G410" s="39" t="s">
        <v>15</v>
      </c>
      <c r="H410" s="33">
        <v>46105</v>
      </c>
      <c r="I410" s="309"/>
      <c r="J410" s="303"/>
      <c r="K410" s="304"/>
      <c r="L410" s="304"/>
      <c r="M410" s="305"/>
      <c r="N410" s="306"/>
      <c r="O410" s="306"/>
      <c r="P410" s="307"/>
      <c r="Q410" s="26"/>
      <c r="R410" s="26"/>
      <c r="S410" s="37"/>
    </row>
    <row r="411" spans="3:19" x14ac:dyDescent="0.2">
      <c r="C411" s="298">
        <v>12</v>
      </c>
      <c r="D411" s="299" t="s">
        <v>34</v>
      </c>
      <c r="E411" s="319"/>
      <c r="F411" s="320"/>
      <c r="G411" s="39" t="s">
        <v>16</v>
      </c>
      <c r="H411" s="33">
        <v>46106</v>
      </c>
      <c r="I411" s="309"/>
      <c r="J411" s="303"/>
      <c r="K411" s="304"/>
      <c r="L411" s="304"/>
      <c r="M411" s="305"/>
      <c r="N411" s="306"/>
      <c r="O411" s="306"/>
      <c r="P411" s="307"/>
      <c r="Q411" s="26"/>
      <c r="R411" s="26"/>
      <c r="S411" s="37"/>
    </row>
    <row r="412" spans="3:19" x14ac:dyDescent="0.2">
      <c r="C412" s="298">
        <v>12</v>
      </c>
      <c r="D412" s="299" t="s">
        <v>34</v>
      </c>
      <c r="E412" s="319"/>
      <c r="F412" s="320"/>
      <c r="G412" s="39" t="s">
        <v>17</v>
      </c>
      <c r="H412" s="33">
        <v>46107</v>
      </c>
      <c r="I412" s="308"/>
      <c r="J412" s="303"/>
      <c r="K412" s="304"/>
      <c r="L412" s="304"/>
      <c r="M412" s="305"/>
      <c r="N412" s="306"/>
      <c r="O412" s="306"/>
      <c r="P412" s="307"/>
      <c r="Q412" s="26"/>
      <c r="R412" s="26"/>
      <c r="S412" s="37"/>
    </row>
    <row r="413" spans="3:19" x14ac:dyDescent="0.2">
      <c r="C413" s="298">
        <v>12</v>
      </c>
      <c r="D413" s="299" t="s">
        <v>34</v>
      </c>
      <c r="E413" s="319"/>
      <c r="F413" s="320"/>
      <c r="G413" s="39" t="s">
        <v>18</v>
      </c>
      <c r="H413" s="33">
        <v>46108</v>
      </c>
      <c r="I413" s="309"/>
      <c r="J413" s="303"/>
      <c r="K413" s="304"/>
      <c r="L413" s="304"/>
      <c r="M413" s="305"/>
      <c r="N413" s="306"/>
      <c r="O413" s="306"/>
      <c r="P413" s="307"/>
      <c r="Q413" s="26"/>
      <c r="R413" s="26"/>
      <c r="S413" s="37"/>
    </row>
    <row r="414" spans="3:19" x14ac:dyDescent="0.2">
      <c r="C414" s="298">
        <v>12</v>
      </c>
      <c r="D414" s="299" t="s">
        <v>34</v>
      </c>
      <c r="E414" s="319"/>
      <c r="F414" s="320"/>
      <c r="G414" s="39" t="s">
        <v>19</v>
      </c>
      <c r="H414" s="33">
        <v>46109</v>
      </c>
      <c r="I414" s="309"/>
      <c r="J414" s="303"/>
      <c r="K414" s="304"/>
      <c r="L414" s="304"/>
      <c r="M414" s="305"/>
      <c r="N414" s="306"/>
      <c r="O414" s="306"/>
      <c r="P414" s="307"/>
      <c r="Q414" s="26"/>
      <c r="R414" s="26"/>
      <c r="S414" s="37"/>
    </row>
    <row r="415" spans="3:19" x14ac:dyDescent="0.2">
      <c r="C415" s="298">
        <v>12</v>
      </c>
      <c r="D415" s="299" t="s">
        <v>34</v>
      </c>
      <c r="E415" s="319"/>
      <c r="F415" s="320"/>
      <c r="G415" s="46" t="s">
        <v>13</v>
      </c>
      <c r="H415" s="33">
        <v>46110</v>
      </c>
      <c r="I415" s="309"/>
      <c r="J415" s="303"/>
      <c r="K415" s="304"/>
      <c r="L415" s="304"/>
      <c r="M415" s="305"/>
      <c r="N415" s="306"/>
      <c r="O415" s="306"/>
      <c r="P415" s="307"/>
      <c r="Q415" s="26"/>
      <c r="R415" s="26"/>
      <c r="S415" s="37"/>
    </row>
    <row r="416" spans="3:19" x14ac:dyDescent="0.2">
      <c r="C416" s="298">
        <v>12</v>
      </c>
      <c r="D416" s="299" t="s">
        <v>34</v>
      </c>
      <c r="E416" s="319"/>
      <c r="F416" s="320"/>
      <c r="G416" s="39" t="s">
        <v>14</v>
      </c>
      <c r="H416" s="33">
        <v>46111</v>
      </c>
      <c r="I416" s="309"/>
      <c r="J416" s="303"/>
      <c r="K416" s="304"/>
      <c r="L416" s="304"/>
      <c r="M416" s="305"/>
      <c r="N416" s="306"/>
      <c r="O416" s="306"/>
      <c r="P416" s="307"/>
      <c r="Q416" s="26"/>
      <c r="R416" s="26"/>
      <c r="S416" s="37"/>
    </row>
    <row r="417" spans="3:19" x14ac:dyDescent="0.2">
      <c r="C417" s="298">
        <v>12</v>
      </c>
      <c r="D417" s="299" t="s">
        <v>34</v>
      </c>
      <c r="E417" s="319"/>
      <c r="F417" s="320"/>
      <c r="G417" s="39" t="s">
        <v>15</v>
      </c>
      <c r="H417" s="33">
        <v>46112</v>
      </c>
      <c r="I417" s="309"/>
      <c r="J417" s="303"/>
      <c r="K417" s="304"/>
      <c r="L417" s="304"/>
      <c r="M417" s="305"/>
      <c r="N417" s="306"/>
      <c r="O417" s="306"/>
      <c r="P417" s="307"/>
      <c r="Q417" s="26"/>
      <c r="R417" s="26"/>
      <c r="S417" s="37"/>
    </row>
    <row r="418" spans="3:19" x14ac:dyDescent="0.2">
      <c r="C418" s="298"/>
      <c r="D418" s="299"/>
      <c r="E418" s="319"/>
      <c r="F418" s="320"/>
      <c r="G418" s="39"/>
      <c r="H418" s="33"/>
      <c r="I418" s="303"/>
      <c r="J418" s="309"/>
      <c r="K418" s="304"/>
      <c r="L418" s="304"/>
      <c r="M418" s="305"/>
      <c r="N418" s="306"/>
      <c r="O418" s="306"/>
      <c r="P418" s="307"/>
      <c r="Q418" s="26"/>
      <c r="R418" s="26"/>
      <c r="S418" s="37"/>
    </row>
    <row r="419" spans="3:19" x14ac:dyDescent="0.2">
      <c r="C419" s="310"/>
      <c r="D419" s="311"/>
      <c r="E419" s="312"/>
      <c r="F419" s="312"/>
      <c r="G419" s="313"/>
      <c r="H419" s="314"/>
      <c r="I419" s="315" t="str">
        <f>D390</f>
        <v>ANDI SAPUTRA</v>
      </c>
      <c r="J419" s="316" t="s">
        <v>20</v>
      </c>
      <c r="K419" s="317"/>
      <c r="L419" s="317"/>
      <c r="M419" s="318">
        <f>SUM(M390:M418)</f>
        <v>4</v>
      </c>
      <c r="N419" s="322">
        <f>SUM(N390:N418)</f>
        <v>0</v>
      </c>
      <c r="O419" s="322">
        <f>SUM(O390:O418)</f>
        <v>0</v>
      </c>
      <c r="P419" s="323"/>
      <c r="Q419" s="26"/>
      <c r="R419" s="26"/>
      <c r="S419" s="37"/>
    </row>
    <row r="420" spans="3:19" x14ac:dyDescent="0.2"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 s="26"/>
      <c r="R420" s="26"/>
      <c r="S420" s="37"/>
    </row>
    <row r="421" spans="3:19" x14ac:dyDescent="0.2"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 s="26"/>
      <c r="R421" s="26"/>
      <c r="S421" s="37"/>
    </row>
    <row r="422" spans="3:19" x14ac:dyDescent="0.2">
      <c r="C422" s="66" t="s">
        <v>1</v>
      </c>
      <c r="D422" s="67" t="s">
        <v>2</v>
      </c>
      <c r="E422" s="68" t="s">
        <v>3</v>
      </c>
      <c r="F422" s="68" t="s">
        <v>4</v>
      </c>
      <c r="G422" s="69" t="s">
        <v>5</v>
      </c>
      <c r="H422" s="68" t="s">
        <v>6</v>
      </c>
      <c r="I422" s="70" t="s">
        <v>7</v>
      </c>
      <c r="J422" s="70" t="s">
        <v>8</v>
      </c>
      <c r="K422" s="71"/>
      <c r="L422" s="72"/>
      <c r="M422" s="72" t="s">
        <v>9</v>
      </c>
      <c r="N422" s="73" t="s">
        <v>10</v>
      </c>
      <c r="O422" s="73" t="s">
        <v>11</v>
      </c>
      <c r="P422" s="198"/>
      <c r="Q422" s="26"/>
      <c r="R422" s="26"/>
      <c r="S422" s="37"/>
    </row>
    <row r="423" spans="3:19" x14ac:dyDescent="0.2">
      <c r="C423" s="298">
        <v>13</v>
      </c>
      <c r="D423" s="299" t="s">
        <v>35</v>
      </c>
      <c r="E423" s="300"/>
      <c r="F423" s="301"/>
      <c r="G423" s="32" t="s">
        <v>13</v>
      </c>
      <c r="H423" s="33">
        <v>46082</v>
      </c>
      <c r="I423" s="308">
        <v>0.3308680555555556</v>
      </c>
      <c r="J423" s="303" t="s">
        <v>36</v>
      </c>
      <c r="K423" s="304"/>
      <c r="L423" s="304"/>
      <c r="M423" s="305"/>
      <c r="N423" s="306"/>
      <c r="O423" s="306"/>
      <c r="P423" s="307"/>
      <c r="Q423" s="26"/>
      <c r="R423" s="26"/>
      <c r="S423" s="37"/>
    </row>
    <row r="424" spans="3:19" x14ac:dyDescent="0.2">
      <c r="C424" s="298">
        <v>13</v>
      </c>
      <c r="D424" s="299" t="s">
        <v>35</v>
      </c>
      <c r="E424" s="300"/>
      <c r="F424" s="301"/>
      <c r="G424" s="29" t="s">
        <v>14</v>
      </c>
      <c r="H424" s="33">
        <v>46083</v>
      </c>
      <c r="I424" s="302"/>
      <c r="J424" s="303">
        <v>0.25018518518518518</v>
      </c>
      <c r="K424" s="304"/>
      <c r="L424" s="304"/>
      <c r="M424" s="305"/>
      <c r="N424" s="306"/>
      <c r="O424" s="306"/>
      <c r="P424" s="307"/>
      <c r="Q424" s="26"/>
      <c r="R424" s="26"/>
      <c r="S424" s="37"/>
    </row>
    <row r="425" spans="3:19" x14ac:dyDescent="0.2">
      <c r="C425" s="298">
        <v>13</v>
      </c>
      <c r="D425" s="299" t="s">
        <v>35</v>
      </c>
      <c r="E425" s="300"/>
      <c r="F425" s="301"/>
      <c r="G425" s="39" t="s">
        <v>15</v>
      </c>
      <c r="H425" s="33">
        <v>46084</v>
      </c>
      <c r="I425" s="309">
        <v>0.79050925925925919</v>
      </c>
      <c r="J425" s="303">
        <v>0.2091898148148148</v>
      </c>
      <c r="K425" s="304"/>
      <c r="L425" s="304"/>
      <c r="M425" s="305">
        <v>2</v>
      </c>
      <c r="N425" s="306"/>
      <c r="O425" s="306"/>
      <c r="P425" s="307"/>
      <c r="Q425" s="26"/>
      <c r="R425" s="26"/>
      <c r="S425" s="37"/>
    </row>
    <row r="426" spans="3:19" x14ac:dyDescent="0.2">
      <c r="C426" s="298">
        <v>13</v>
      </c>
      <c r="D426" s="299" t="s">
        <v>35</v>
      </c>
      <c r="E426" s="300"/>
      <c r="F426" s="301"/>
      <c r="G426" s="39" t="s">
        <v>16</v>
      </c>
      <c r="H426" s="33">
        <v>46085</v>
      </c>
      <c r="I426" s="309">
        <v>0.79028935185185178</v>
      </c>
      <c r="J426" s="303">
        <v>0.20976851851851852</v>
      </c>
      <c r="K426" s="304"/>
      <c r="L426" s="304"/>
      <c r="M426" s="305">
        <v>2</v>
      </c>
      <c r="N426" s="306"/>
      <c r="O426" s="306"/>
      <c r="P426" s="307"/>
      <c r="Q426" s="26"/>
      <c r="R426" s="26"/>
      <c r="S426" s="37"/>
    </row>
    <row r="427" spans="3:19" x14ac:dyDescent="0.2">
      <c r="C427" s="298">
        <v>13</v>
      </c>
      <c r="D427" s="299" t="s">
        <v>35</v>
      </c>
      <c r="E427" s="300"/>
      <c r="F427" s="301"/>
      <c r="G427" s="39" t="s">
        <v>17</v>
      </c>
      <c r="H427" s="33">
        <v>46086</v>
      </c>
      <c r="I427" s="309">
        <v>0.79069444444444448</v>
      </c>
      <c r="J427" s="303">
        <v>0.21402777777777779</v>
      </c>
      <c r="K427" s="304"/>
      <c r="L427" s="304"/>
      <c r="M427" s="305">
        <v>2</v>
      </c>
      <c r="N427" s="306"/>
      <c r="O427" s="306"/>
      <c r="P427" s="307"/>
      <c r="Q427" s="26"/>
      <c r="R427" s="26"/>
      <c r="S427" s="37"/>
    </row>
    <row r="428" spans="3:19" x14ac:dyDescent="0.2">
      <c r="C428" s="298">
        <v>13</v>
      </c>
      <c r="D428" s="299" t="s">
        <v>35</v>
      </c>
      <c r="E428" s="300"/>
      <c r="F428" s="301"/>
      <c r="G428" s="45" t="s">
        <v>18</v>
      </c>
      <c r="H428" s="33">
        <v>46087</v>
      </c>
      <c r="I428" s="309">
        <v>0.70824074074074073</v>
      </c>
      <c r="J428" s="303">
        <v>0.20950231481481482</v>
      </c>
      <c r="K428" s="304"/>
      <c r="L428" s="304"/>
      <c r="M428" s="305">
        <v>2</v>
      </c>
      <c r="N428" s="306"/>
      <c r="O428" s="306"/>
      <c r="P428" s="307"/>
      <c r="Q428" s="26"/>
      <c r="R428" s="26"/>
      <c r="S428" s="37"/>
    </row>
    <row r="429" spans="3:19" x14ac:dyDescent="0.2">
      <c r="C429" s="298">
        <v>13</v>
      </c>
      <c r="D429" s="299" t="s">
        <v>35</v>
      </c>
      <c r="E429" s="300"/>
      <c r="F429" s="301"/>
      <c r="G429" s="39" t="s">
        <v>19</v>
      </c>
      <c r="H429" s="33">
        <v>46088</v>
      </c>
      <c r="I429" s="309">
        <v>0.54025462962962967</v>
      </c>
      <c r="J429" s="303">
        <v>0.66668981481481471</v>
      </c>
      <c r="K429" s="304"/>
      <c r="L429" s="304"/>
      <c r="M429" s="305"/>
      <c r="N429" s="306"/>
      <c r="O429" s="306"/>
      <c r="P429" s="307"/>
      <c r="Q429" s="26"/>
      <c r="R429" s="26"/>
      <c r="S429" s="37"/>
    </row>
    <row r="430" spans="3:19" x14ac:dyDescent="0.25">
      <c r="C430" s="298">
        <v>13</v>
      </c>
      <c r="D430" s="299" t="s">
        <v>35</v>
      </c>
      <c r="E430" s="300"/>
      <c r="F430" s="301"/>
      <c r="G430" s="46" t="s">
        <v>13</v>
      </c>
      <c r="H430" s="33">
        <v>46089</v>
      </c>
      <c r="I430" s="302"/>
      <c r="K430" s="304"/>
      <c r="L430" s="304"/>
      <c r="M430" s="305"/>
      <c r="N430" s="306"/>
      <c r="O430" s="306"/>
      <c r="P430" s="307"/>
      <c r="Q430" s="26"/>
      <c r="R430" s="26"/>
      <c r="S430" s="37"/>
    </row>
    <row r="431" spans="3:19" x14ac:dyDescent="0.25">
      <c r="C431" s="298">
        <v>13</v>
      </c>
      <c r="D431" s="299" t="s">
        <v>35</v>
      </c>
      <c r="E431" s="300"/>
      <c r="F431" s="301"/>
      <c r="G431" s="39" t="s">
        <v>14</v>
      </c>
      <c r="H431" s="33">
        <v>46090</v>
      </c>
      <c r="I431" s="5">
        <v>0.33164351851851853</v>
      </c>
      <c r="J431" s="309">
        <v>0.80347222222222225</v>
      </c>
      <c r="K431" s="304"/>
      <c r="L431" s="304"/>
      <c r="M431" s="305">
        <v>2</v>
      </c>
      <c r="N431" s="306"/>
      <c r="O431" s="306"/>
      <c r="P431" s="307"/>
      <c r="Q431" s="26"/>
      <c r="R431" s="26"/>
      <c r="S431" s="37"/>
    </row>
    <row r="432" spans="3:19" x14ac:dyDescent="0.2">
      <c r="C432" s="298">
        <v>13</v>
      </c>
      <c r="D432" s="299" t="s">
        <v>35</v>
      </c>
      <c r="E432" s="300"/>
      <c r="F432" s="301"/>
      <c r="G432" s="39" t="s">
        <v>15</v>
      </c>
      <c r="H432" s="33">
        <v>46091</v>
      </c>
      <c r="I432" s="308">
        <v>0.33167824074074076</v>
      </c>
      <c r="J432" s="303">
        <v>0.80704861111111104</v>
      </c>
      <c r="K432" s="304"/>
      <c r="L432" s="304"/>
      <c r="M432" s="305">
        <v>2</v>
      </c>
      <c r="N432" s="306"/>
      <c r="O432" s="306"/>
      <c r="P432" s="307"/>
      <c r="Q432" s="26"/>
      <c r="R432" s="26"/>
      <c r="S432" s="37"/>
    </row>
    <row r="433" spans="3:19" x14ac:dyDescent="0.2">
      <c r="C433" s="298">
        <v>13</v>
      </c>
      <c r="D433" s="299" t="s">
        <v>35</v>
      </c>
      <c r="E433" s="300"/>
      <c r="F433" s="301"/>
      <c r="G433" s="39" t="s">
        <v>16</v>
      </c>
      <c r="H433" s="33">
        <v>46092</v>
      </c>
      <c r="I433" s="309">
        <v>0.33182870370370371</v>
      </c>
      <c r="J433" s="303">
        <v>0.8037037037037037</v>
      </c>
      <c r="K433" s="304"/>
      <c r="L433" s="304"/>
      <c r="M433" s="305">
        <v>2</v>
      </c>
      <c r="N433" s="306"/>
      <c r="O433" s="306"/>
      <c r="P433" s="307"/>
      <c r="Q433" s="26"/>
      <c r="R433" s="26"/>
      <c r="S433" s="37"/>
    </row>
    <row r="434" spans="3:19" x14ac:dyDescent="0.2">
      <c r="C434" s="298">
        <v>13</v>
      </c>
      <c r="D434" s="299" t="s">
        <v>35</v>
      </c>
      <c r="E434" s="300"/>
      <c r="F434" s="301"/>
      <c r="G434" s="39" t="s">
        <v>17</v>
      </c>
      <c r="H434" s="33">
        <v>46093</v>
      </c>
      <c r="I434" s="309">
        <v>0.33165509259259257</v>
      </c>
      <c r="J434" s="303"/>
      <c r="K434" s="304"/>
      <c r="L434" s="304"/>
      <c r="M434" s="305"/>
      <c r="N434" s="306"/>
      <c r="O434" s="306"/>
      <c r="P434" s="307"/>
      <c r="Q434" s="26"/>
      <c r="R434" s="26"/>
      <c r="S434" s="37"/>
    </row>
    <row r="435" spans="3:19" x14ac:dyDescent="0.2">
      <c r="C435" s="298">
        <v>13</v>
      </c>
      <c r="D435" s="299" t="s">
        <v>35</v>
      </c>
      <c r="E435" s="300"/>
      <c r="F435" s="301"/>
      <c r="G435" s="48" t="s">
        <v>18</v>
      </c>
      <c r="H435" s="33">
        <v>46094</v>
      </c>
      <c r="I435" s="308">
        <v>0.33233796296296297</v>
      </c>
      <c r="J435" s="303">
        <v>0.71030092592592586</v>
      </c>
      <c r="K435" s="304"/>
      <c r="L435" s="304"/>
      <c r="M435" s="305"/>
      <c r="N435" s="306"/>
      <c r="O435" s="306"/>
      <c r="P435" s="307"/>
      <c r="Q435" s="26"/>
      <c r="R435" s="26"/>
      <c r="S435" s="37"/>
    </row>
    <row r="436" spans="3:19" x14ac:dyDescent="0.2">
      <c r="C436" s="298">
        <v>13</v>
      </c>
      <c r="D436" s="299" t="s">
        <v>35</v>
      </c>
      <c r="E436" s="300"/>
      <c r="F436" s="301"/>
      <c r="G436" s="39" t="s">
        <v>19</v>
      </c>
      <c r="H436" s="33">
        <v>46095</v>
      </c>
      <c r="I436" s="309">
        <v>0.33153935185185185</v>
      </c>
      <c r="J436" s="303"/>
      <c r="K436" s="304"/>
      <c r="L436" s="304"/>
      <c r="M436" s="305"/>
      <c r="N436" s="306"/>
      <c r="O436" s="306"/>
      <c r="P436" s="307"/>
      <c r="Q436" s="26"/>
      <c r="R436" s="26"/>
      <c r="S436" s="37"/>
    </row>
    <row r="437" spans="3:19" x14ac:dyDescent="0.2">
      <c r="C437" s="298">
        <v>13</v>
      </c>
      <c r="D437" s="299" t="s">
        <v>35</v>
      </c>
      <c r="E437" s="300"/>
      <c r="F437" s="301"/>
      <c r="G437" s="46" t="s">
        <v>13</v>
      </c>
      <c r="H437" s="33">
        <v>46096</v>
      </c>
      <c r="I437" s="309"/>
      <c r="J437" s="303"/>
      <c r="K437" s="304"/>
      <c r="L437" s="304"/>
      <c r="M437" s="305"/>
      <c r="N437" s="306"/>
      <c r="O437" s="306"/>
      <c r="P437" s="44"/>
      <c r="Q437" s="26"/>
      <c r="R437" s="26"/>
      <c r="S437" s="37"/>
    </row>
    <row r="438" spans="3:19" x14ac:dyDescent="0.2">
      <c r="C438" s="298">
        <v>13</v>
      </c>
      <c r="D438" s="299" t="s">
        <v>35</v>
      </c>
      <c r="E438" s="300"/>
      <c r="F438" s="301"/>
      <c r="G438" s="39" t="s">
        <v>14</v>
      </c>
      <c r="H438" s="33">
        <v>46097</v>
      </c>
      <c r="I438" s="302"/>
      <c r="J438" s="303"/>
      <c r="K438" s="304"/>
      <c r="L438" s="304"/>
      <c r="M438" s="305"/>
      <c r="N438" s="306"/>
      <c r="O438" s="306"/>
      <c r="P438" s="307"/>
      <c r="Q438" s="26"/>
      <c r="R438" s="26"/>
      <c r="S438" s="37"/>
    </row>
    <row r="439" spans="3:19" x14ac:dyDescent="0.2">
      <c r="C439" s="298">
        <v>13</v>
      </c>
      <c r="D439" s="299" t="s">
        <v>35</v>
      </c>
      <c r="E439" s="300"/>
      <c r="F439" s="301"/>
      <c r="G439" s="39" t="s">
        <v>15</v>
      </c>
      <c r="H439" s="33">
        <v>46098</v>
      </c>
      <c r="I439" s="302"/>
      <c r="J439" s="303"/>
      <c r="K439" s="304"/>
      <c r="L439" s="304"/>
      <c r="M439" s="305"/>
      <c r="N439" s="306"/>
      <c r="O439" s="306"/>
      <c r="P439" s="307"/>
      <c r="Q439" s="26"/>
      <c r="R439" s="26"/>
      <c r="S439" s="37"/>
    </row>
    <row r="440" spans="3:19" x14ac:dyDescent="0.2">
      <c r="C440" s="298">
        <v>13</v>
      </c>
      <c r="D440" s="299" t="s">
        <v>35</v>
      </c>
      <c r="E440" s="300"/>
      <c r="F440" s="301"/>
      <c r="G440" s="39" t="s">
        <v>16</v>
      </c>
      <c r="H440" s="33">
        <v>46099</v>
      </c>
      <c r="I440" s="308"/>
      <c r="J440" s="303"/>
      <c r="K440" s="304"/>
      <c r="L440" s="304"/>
      <c r="M440" s="305"/>
      <c r="N440" s="306"/>
      <c r="O440" s="306"/>
      <c r="P440" s="307"/>
      <c r="Q440" s="26"/>
      <c r="R440" s="26"/>
      <c r="S440" s="37"/>
    </row>
    <row r="441" spans="3:19" x14ac:dyDescent="0.2">
      <c r="C441" s="298">
        <v>13</v>
      </c>
      <c r="D441" s="299" t="s">
        <v>35</v>
      </c>
      <c r="E441" s="300"/>
      <c r="F441" s="301"/>
      <c r="G441" s="39" t="s">
        <v>17</v>
      </c>
      <c r="H441" s="33">
        <v>46100</v>
      </c>
      <c r="I441" s="308"/>
      <c r="J441" s="303"/>
      <c r="K441" s="304"/>
      <c r="L441" s="304"/>
      <c r="M441" s="305"/>
      <c r="N441" s="306"/>
      <c r="O441" s="306"/>
      <c r="P441" s="307"/>
      <c r="Q441" s="26"/>
      <c r="R441" s="26"/>
      <c r="S441" s="37"/>
    </row>
    <row r="442" spans="3:19" x14ac:dyDescent="0.2">
      <c r="C442" s="298">
        <v>13</v>
      </c>
      <c r="D442" s="299" t="s">
        <v>35</v>
      </c>
      <c r="E442" s="300"/>
      <c r="F442" s="301"/>
      <c r="G442" s="39" t="s">
        <v>18</v>
      </c>
      <c r="H442" s="33">
        <v>46101</v>
      </c>
      <c r="I442" s="309"/>
      <c r="J442" s="303"/>
      <c r="K442" s="304"/>
      <c r="L442" s="304"/>
      <c r="M442" s="305"/>
      <c r="N442" s="306"/>
      <c r="O442" s="306"/>
      <c r="P442" s="307"/>
      <c r="Q442" s="26"/>
      <c r="R442" s="26"/>
      <c r="S442" s="37"/>
    </row>
    <row r="443" spans="3:19" x14ac:dyDescent="0.2">
      <c r="C443" s="298">
        <v>13</v>
      </c>
      <c r="D443" s="299" t="s">
        <v>35</v>
      </c>
      <c r="E443" s="300"/>
      <c r="F443" s="301"/>
      <c r="G443" s="39" t="s">
        <v>19</v>
      </c>
      <c r="H443" s="33">
        <v>46102</v>
      </c>
      <c r="I443" s="309"/>
      <c r="J443" s="303"/>
      <c r="K443" s="304"/>
      <c r="L443" s="304"/>
      <c r="M443" s="305"/>
      <c r="N443" s="306"/>
      <c r="O443" s="306"/>
      <c r="P443" s="307"/>
      <c r="Q443" s="26"/>
      <c r="R443" s="26"/>
      <c r="S443" s="37"/>
    </row>
    <row r="444" spans="3:19" x14ac:dyDescent="0.2">
      <c r="C444" s="298">
        <v>13</v>
      </c>
      <c r="D444" s="299" t="s">
        <v>35</v>
      </c>
      <c r="E444" s="300"/>
      <c r="F444" s="301"/>
      <c r="G444" s="46" t="s">
        <v>13</v>
      </c>
      <c r="H444" s="33">
        <v>46103</v>
      </c>
      <c r="I444" s="309"/>
      <c r="J444" s="303"/>
      <c r="K444" s="304"/>
      <c r="L444" s="304"/>
      <c r="M444" s="305"/>
      <c r="N444" s="306"/>
      <c r="O444" s="306"/>
      <c r="P444" s="307"/>
      <c r="Q444" s="26"/>
      <c r="R444" s="26"/>
      <c r="S444" s="37"/>
    </row>
    <row r="445" spans="3:19" x14ac:dyDescent="0.2">
      <c r="C445" s="298">
        <v>13</v>
      </c>
      <c r="D445" s="299" t="s">
        <v>35</v>
      </c>
      <c r="E445" s="300"/>
      <c r="F445" s="301"/>
      <c r="G445" s="39" t="s">
        <v>14</v>
      </c>
      <c r="H445" s="33">
        <v>46104</v>
      </c>
      <c r="I445" s="308"/>
      <c r="J445" s="303"/>
      <c r="K445" s="304"/>
      <c r="L445" s="304"/>
      <c r="M445" s="305"/>
      <c r="N445" s="306"/>
      <c r="O445" s="306"/>
      <c r="P445" s="307"/>
      <c r="Q445" s="26"/>
      <c r="R445" s="26"/>
      <c r="S445" s="37"/>
    </row>
    <row r="446" spans="3:19" x14ac:dyDescent="0.2">
      <c r="C446" s="298">
        <v>13</v>
      </c>
      <c r="D446" s="299" t="s">
        <v>35</v>
      </c>
      <c r="E446" s="300"/>
      <c r="F446" s="301"/>
      <c r="G446" s="39" t="s">
        <v>15</v>
      </c>
      <c r="H446" s="33">
        <v>46105</v>
      </c>
      <c r="I446" s="309"/>
      <c r="J446" s="303"/>
      <c r="K446" s="304"/>
      <c r="L446" s="304"/>
      <c r="M446" s="305"/>
      <c r="N446" s="306"/>
      <c r="O446" s="306"/>
      <c r="P446" s="307"/>
      <c r="Q446" s="26"/>
      <c r="R446" s="26"/>
      <c r="S446" s="37"/>
    </row>
    <row r="447" spans="3:19" ht="14.25" customHeight="1" x14ac:dyDescent="0.2">
      <c r="C447" s="298">
        <v>13</v>
      </c>
      <c r="D447" s="299" t="s">
        <v>35</v>
      </c>
      <c r="E447" s="300"/>
      <c r="F447" s="301"/>
      <c r="G447" s="39" t="s">
        <v>16</v>
      </c>
      <c r="H447" s="33">
        <v>46106</v>
      </c>
      <c r="I447" s="309"/>
      <c r="J447" s="303"/>
      <c r="K447" s="304"/>
      <c r="L447" s="304"/>
      <c r="M447" s="305"/>
      <c r="N447" s="306"/>
      <c r="O447" s="306"/>
      <c r="P447" s="307"/>
      <c r="Q447" s="26"/>
      <c r="R447" s="26"/>
      <c r="S447" s="37"/>
    </row>
    <row r="448" spans="3:19" ht="14.25" customHeight="1" x14ac:dyDescent="0.2">
      <c r="C448" s="298">
        <v>13</v>
      </c>
      <c r="D448" s="299" t="s">
        <v>35</v>
      </c>
      <c r="E448" s="300"/>
      <c r="F448" s="301"/>
      <c r="G448" s="39" t="s">
        <v>17</v>
      </c>
      <c r="H448" s="33">
        <v>46107</v>
      </c>
      <c r="I448" s="308"/>
      <c r="J448" s="303"/>
      <c r="K448" s="304"/>
      <c r="L448" s="304"/>
      <c r="M448" s="305"/>
      <c r="N448" s="306"/>
      <c r="O448" s="306"/>
      <c r="P448" s="307"/>
      <c r="Q448" s="26"/>
      <c r="R448" s="26"/>
      <c r="S448" s="37"/>
    </row>
    <row r="449" spans="3:19" ht="14.25" customHeight="1" x14ac:dyDescent="0.2">
      <c r="C449" s="298">
        <v>13</v>
      </c>
      <c r="D449" s="299" t="s">
        <v>35</v>
      </c>
      <c r="E449" s="300"/>
      <c r="F449" s="301"/>
      <c r="G449" s="39" t="s">
        <v>18</v>
      </c>
      <c r="H449" s="33">
        <v>46108</v>
      </c>
      <c r="I449" s="309"/>
      <c r="J449" s="303"/>
      <c r="K449" s="304"/>
      <c r="L449" s="304"/>
      <c r="M449" s="305"/>
      <c r="N449" s="306"/>
      <c r="O449" s="306"/>
      <c r="P449" s="307"/>
      <c r="Q449" s="26"/>
      <c r="R449" s="26"/>
      <c r="S449" s="37"/>
    </row>
    <row r="450" spans="3:19" ht="14.25" customHeight="1" x14ac:dyDescent="0.2">
      <c r="C450" s="298">
        <v>13</v>
      </c>
      <c r="D450" s="299" t="s">
        <v>35</v>
      </c>
      <c r="E450" s="300"/>
      <c r="F450" s="301"/>
      <c r="G450" s="39" t="s">
        <v>19</v>
      </c>
      <c r="H450" s="33">
        <v>46109</v>
      </c>
      <c r="I450" s="309"/>
      <c r="J450" s="303"/>
      <c r="K450" s="304"/>
      <c r="L450" s="304"/>
      <c r="M450" s="305"/>
      <c r="N450" s="306"/>
      <c r="O450" s="306"/>
      <c r="P450" s="307"/>
      <c r="Q450" s="26"/>
      <c r="R450" s="26"/>
      <c r="S450" s="37"/>
    </row>
    <row r="451" spans="3:19" ht="14.25" customHeight="1" x14ac:dyDescent="0.2">
      <c r="C451" s="298">
        <v>13</v>
      </c>
      <c r="D451" s="299" t="s">
        <v>35</v>
      </c>
      <c r="E451" s="300"/>
      <c r="F451" s="301"/>
      <c r="G451" s="46" t="s">
        <v>13</v>
      </c>
      <c r="H451" s="33">
        <v>46110</v>
      </c>
      <c r="I451" s="309"/>
      <c r="J451" s="303"/>
      <c r="K451" s="304"/>
      <c r="L451" s="304"/>
      <c r="M451" s="305"/>
      <c r="N451" s="306"/>
      <c r="O451" s="306"/>
      <c r="P451" s="307"/>
      <c r="Q451" s="26"/>
      <c r="R451" s="26"/>
      <c r="S451" s="37"/>
    </row>
    <row r="452" spans="3:19" ht="14.25" customHeight="1" x14ac:dyDescent="0.2">
      <c r="C452" s="298">
        <v>13</v>
      </c>
      <c r="D452" s="299" t="s">
        <v>35</v>
      </c>
      <c r="E452" s="300"/>
      <c r="F452" s="301"/>
      <c r="G452" s="39" t="s">
        <v>14</v>
      </c>
      <c r="H452" s="33">
        <v>46111</v>
      </c>
      <c r="I452" s="309"/>
      <c r="J452" s="303"/>
      <c r="K452" s="304"/>
      <c r="L452" s="304"/>
      <c r="M452" s="305"/>
      <c r="N452" s="306"/>
      <c r="O452" s="306"/>
      <c r="P452" s="307"/>
      <c r="Q452" s="26"/>
      <c r="R452" s="26"/>
      <c r="S452" s="37"/>
    </row>
    <row r="453" spans="3:19" ht="14.25" customHeight="1" x14ac:dyDescent="0.2">
      <c r="C453" s="298">
        <v>13</v>
      </c>
      <c r="D453" s="299" t="s">
        <v>35</v>
      </c>
      <c r="E453" s="300"/>
      <c r="F453" s="301"/>
      <c r="G453" s="39" t="s">
        <v>15</v>
      </c>
      <c r="H453" s="33">
        <v>46112</v>
      </c>
      <c r="I453" s="309"/>
      <c r="J453" s="303"/>
      <c r="K453" s="304"/>
      <c r="L453" s="304"/>
      <c r="M453" s="305"/>
      <c r="N453" s="306"/>
      <c r="O453" s="306"/>
      <c r="P453" s="307"/>
      <c r="Q453" s="26"/>
      <c r="R453" s="26"/>
      <c r="S453" s="37"/>
    </row>
    <row r="454" spans="3:19" ht="14.25" customHeight="1" x14ac:dyDescent="0.2">
      <c r="C454" s="298"/>
      <c r="D454" s="299"/>
      <c r="E454" s="300"/>
      <c r="F454" s="301"/>
      <c r="G454" s="39"/>
      <c r="H454" s="33"/>
      <c r="I454" s="303"/>
      <c r="J454" s="303"/>
      <c r="K454" s="305"/>
      <c r="L454" s="305"/>
      <c r="M454" s="305"/>
      <c r="N454" s="306"/>
      <c r="O454" s="306"/>
      <c r="P454" s="307"/>
      <c r="Q454" s="26"/>
      <c r="R454" s="26"/>
      <c r="S454" s="37"/>
    </row>
    <row r="455" spans="3:19" ht="14.25" customHeight="1" x14ac:dyDescent="0.2">
      <c r="C455" s="310"/>
      <c r="D455" s="311"/>
      <c r="E455" s="312"/>
      <c r="F455" s="312"/>
      <c r="G455" s="313"/>
      <c r="H455" s="314"/>
      <c r="I455" s="315" t="str">
        <f>D426</f>
        <v>TAFIP</v>
      </c>
      <c r="J455" s="316" t="s">
        <v>20</v>
      </c>
      <c r="K455" s="317"/>
      <c r="L455" s="317"/>
      <c r="M455" s="318">
        <f>SUM(M426:M454)</f>
        <v>12</v>
      </c>
      <c r="N455" s="322">
        <f>SUM(N426:N454)</f>
        <v>0</v>
      </c>
      <c r="O455" s="322">
        <f>SUM(O426:O454)</f>
        <v>0</v>
      </c>
      <c r="P455" s="307"/>
      <c r="Q455" s="26"/>
      <c r="R455" s="26"/>
      <c r="S455" s="37"/>
    </row>
    <row r="456" spans="3:19" ht="14.25" customHeight="1" x14ac:dyDescent="0.2">
      <c r="C456" s="58"/>
      <c r="D456" s="59"/>
      <c r="E456" s="60"/>
      <c r="F456" s="60"/>
      <c r="G456" s="61"/>
      <c r="H456" s="62"/>
      <c r="I456" s="63"/>
      <c r="J456" s="63"/>
      <c r="K456" s="62"/>
      <c r="L456" s="62"/>
      <c r="M456" s="62"/>
      <c r="N456" s="64"/>
      <c r="O456" s="64"/>
      <c r="P456" s="65"/>
      <c r="Q456" s="26"/>
      <c r="R456" s="26"/>
      <c r="S456" s="37"/>
    </row>
    <row r="457" spans="3:19" ht="14.25" customHeight="1" x14ac:dyDescent="0.2">
      <c r="C457" s="66" t="s">
        <v>1</v>
      </c>
      <c r="D457" s="67" t="s">
        <v>2</v>
      </c>
      <c r="E457" s="68" t="s">
        <v>3</v>
      </c>
      <c r="F457" s="68" t="s">
        <v>4</v>
      </c>
      <c r="G457" s="69" t="s">
        <v>5</v>
      </c>
      <c r="H457" s="68" t="s">
        <v>6</v>
      </c>
      <c r="I457" s="70" t="s">
        <v>7</v>
      </c>
      <c r="J457" s="70" t="s">
        <v>8</v>
      </c>
      <c r="K457" s="71"/>
      <c r="L457" s="72"/>
      <c r="M457" s="72" t="s">
        <v>9</v>
      </c>
      <c r="N457" s="73" t="s">
        <v>10</v>
      </c>
      <c r="O457" s="73" t="s">
        <v>11</v>
      </c>
      <c r="P457" s="198"/>
      <c r="Q457" s="26"/>
      <c r="R457" s="26"/>
      <c r="S457" s="37"/>
    </row>
    <row r="458" spans="3:19" ht="14.25" customHeight="1" x14ac:dyDescent="0.2">
      <c r="C458" s="298">
        <v>14</v>
      </c>
      <c r="D458" s="299" t="s">
        <v>87</v>
      </c>
      <c r="E458" s="300"/>
      <c r="F458" s="301"/>
      <c r="G458" s="32" t="s">
        <v>13</v>
      </c>
      <c r="H458" s="33">
        <v>46082</v>
      </c>
      <c r="I458" s="308">
        <v>0.31945601851851851</v>
      </c>
      <c r="J458" s="303" t="s">
        <v>37</v>
      </c>
      <c r="K458" s="304"/>
      <c r="L458" s="304"/>
      <c r="M458" s="305"/>
      <c r="N458" s="306"/>
      <c r="O458" s="306"/>
      <c r="P458" s="307"/>
      <c r="Q458" s="26"/>
      <c r="R458" s="26"/>
      <c r="S458" s="37"/>
    </row>
    <row r="459" spans="3:19" ht="14.25" customHeight="1" x14ac:dyDescent="0.2">
      <c r="C459" s="298">
        <v>14</v>
      </c>
      <c r="D459" s="299" t="s">
        <v>87</v>
      </c>
      <c r="E459" s="300"/>
      <c r="F459" s="301"/>
      <c r="G459" s="29" t="s">
        <v>14</v>
      </c>
      <c r="H459" s="33">
        <v>46083</v>
      </c>
      <c r="I459" s="308">
        <v>0.31960648148148146</v>
      </c>
      <c r="J459" s="303"/>
      <c r="K459" s="304"/>
      <c r="L459" s="304"/>
      <c r="M459" s="305"/>
      <c r="N459" s="306"/>
      <c r="O459" s="306"/>
      <c r="P459" s="307"/>
      <c r="Q459" s="26"/>
      <c r="R459" s="26"/>
      <c r="S459" s="37"/>
    </row>
    <row r="460" spans="3:19" ht="14.25" customHeight="1" x14ac:dyDescent="0.2">
      <c r="C460" s="298">
        <v>14</v>
      </c>
      <c r="D460" s="299" t="s">
        <v>87</v>
      </c>
      <c r="E460" s="300"/>
      <c r="F460" s="301"/>
      <c r="G460" s="39" t="s">
        <v>15</v>
      </c>
      <c r="H460" s="33">
        <v>46084</v>
      </c>
      <c r="I460" s="309">
        <v>0.31810185185185186</v>
      </c>
      <c r="J460" s="303">
        <v>0.70968749999999992</v>
      </c>
      <c r="K460" s="304"/>
      <c r="L460" s="304"/>
      <c r="M460" s="305"/>
      <c r="N460" s="306"/>
      <c r="O460" s="306"/>
      <c r="P460" s="307"/>
      <c r="Q460" s="26"/>
      <c r="R460" s="26"/>
      <c r="S460" s="37"/>
    </row>
    <row r="461" spans="3:19" ht="14.25" customHeight="1" x14ac:dyDescent="0.2">
      <c r="C461" s="298">
        <v>14</v>
      </c>
      <c r="D461" s="299" t="s">
        <v>87</v>
      </c>
      <c r="E461" s="300"/>
      <c r="F461" s="301"/>
      <c r="G461" s="39" t="s">
        <v>16</v>
      </c>
      <c r="H461" s="33">
        <v>46085</v>
      </c>
      <c r="I461" s="309">
        <v>0.31042824074074077</v>
      </c>
      <c r="J461" s="303">
        <v>0.70969907407407407</v>
      </c>
      <c r="K461" s="304"/>
      <c r="L461" s="304"/>
      <c r="M461" s="305"/>
      <c r="N461" s="306"/>
      <c r="O461" s="306"/>
      <c r="P461" s="307"/>
      <c r="Q461" s="26"/>
      <c r="R461" s="26"/>
      <c r="S461" s="37"/>
    </row>
    <row r="462" spans="3:19" ht="14.25" customHeight="1" x14ac:dyDescent="0.2">
      <c r="C462" s="298">
        <v>14</v>
      </c>
      <c r="D462" s="299" t="s">
        <v>87</v>
      </c>
      <c r="E462" s="300"/>
      <c r="F462" s="301"/>
      <c r="G462" s="39" t="s">
        <v>17</v>
      </c>
      <c r="H462" s="33">
        <v>46086</v>
      </c>
      <c r="I462" s="309">
        <v>0.317349537037037</v>
      </c>
      <c r="J462" s="303">
        <v>0.70924768518518511</v>
      </c>
      <c r="K462" s="304"/>
      <c r="L462" s="304"/>
      <c r="M462" s="305"/>
      <c r="N462" s="306"/>
      <c r="O462" s="306"/>
      <c r="P462" s="307"/>
      <c r="Q462" s="26"/>
      <c r="R462" s="26"/>
      <c r="S462" s="37"/>
    </row>
    <row r="463" spans="3:19" ht="14.25" customHeight="1" x14ac:dyDescent="0.2">
      <c r="C463" s="298">
        <v>14</v>
      </c>
      <c r="D463" s="299" t="s">
        <v>87</v>
      </c>
      <c r="E463" s="300"/>
      <c r="F463" s="301"/>
      <c r="G463" s="45" t="s">
        <v>18</v>
      </c>
      <c r="H463" s="33">
        <v>46087</v>
      </c>
      <c r="I463" s="309">
        <v>0.31442129629629628</v>
      </c>
      <c r="J463" s="303"/>
      <c r="K463" s="304"/>
      <c r="L463" s="304"/>
      <c r="M463" s="305"/>
      <c r="N463" s="306"/>
      <c r="O463" s="306"/>
      <c r="P463" s="307"/>
      <c r="Q463" s="26"/>
      <c r="R463" s="26"/>
      <c r="S463" s="37"/>
    </row>
    <row r="464" spans="3:19" ht="14.25" customHeight="1" x14ac:dyDescent="0.2">
      <c r="C464" s="298">
        <v>14</v>
      </c>
      <c r="D464" s="299" t="s">
        <v>87</v>
      </c>
      <c r="E464" s="300"/>
      <c r="F464" s="301"/>
      <c r="G464" s="39" t="s">
        <v>19</v>
      </c>
      <c r="H464" s="33">
        <v>46088</v>
      </c>
      <c r="I464" s="309">
        <v>0.32156250000000003</v>
      </c>
      <c r="J464" s="303">
        <v>0.56831018518518517</v>
      </c>
      <c r="K464" s="304"/>
      <c r="L464" s="304"/>
      <c r="M464" s="305"/>
      <c r="N464" s="306"/>
      <c r="O464" s="306"/>
      <c r="P464" s="307"/>
      <c r="Q464" s="26"/>
      <c r="R464" s="26"/>
      <c r="S464" s="37"/>
    </row>
    <row r="465" spans="3:19" ht="14.25" customHeight="1" x14ac:dyDescent="0.25">
      <c r="C465" s="298">
        <v>14</v>
      </c>
      <c r="D465" s="299" t="s">
        <v>87</v>
      </c>
      <c r="E465" s="300"/>
      <c r="F465" s="301"/>
      <c r="G465" s="46" t="s">
        <v>13</v>
      </c>
      <c r="H465" s="33">
        <v>46089</v>
      </c>
      <c r="I465" s="302"/>
      <c r="K465" s="304"/>
      <c r="L465" s="304"/>
      <c r="M465" s="305"/>
      <c r="N465" s="306"/>
      <c r="O465" s="306"/>
      <c r="P465" s="307"/>
      <c r="Q465" s="26"/>
      <c r="R465" s="26"/>
      <c r="S465" s="37"/>
    </row>
    <row r="466" spans="3:19" ht="14.25" customHeight="1" x14ac:dyDescent="0.25">
      <c r="C466" s="298">
        <v>14</v>
      </c>
      <c r="D466" s="299" t="s">
        <v>87</v>
      </c>
      <c r="E466" s="300"/>
      <c r="F466" s="301"/>
      <c r="G466" s="39" t="s">
        <v>14</v>
      </c>
      <c r="H466" s="33">
        <v>46090</v>
      </c>
      <c r="I466" s="5">
        <v>0.31657407407407406</v>
      </c>
      <c r="J466" s="309">
        <v>0.70917824074074076</v>
      </c>
      <c r="K466" s="304"/>
      <c r="L466" s="304"/>
      <c r="M466" s="305"/>
      <c r="N466" s="306"/>
      <c r="O466" s="306"/>
      <c r="P466" s="307"/>
      <c r="Q466" s="26"/>
      <c r="R466" s="26"/>
      <c r="S466" s="37"/>
    </row>
    <row r="467" spans="3:19" ht="14.25" customHeight="1" x14ac:dyDescent="0.2">
      <c r="C467" s="298">
        <v>14</v>
      </c>
      <c r="D467" s="299" t="s">
        <v>87</v>
      </c>
      <c r="E467" s="300"/>
      <c r="F467" s="301"/>
      <c r="G467" s="39" t="s">
        <v>15</v>
      </c>
      <c r="H467" s="33">
        <v>46091</v>
      </c>
      <c r="I467" s="308">
        <v>0.3168287037037037</v>
      </c>
      <c r="J467" s="303">
        <v>0.71096064814814808</v>
      </c>
      <c r="K467" s="304"/>
      <c r="L467" s="304"/>
      <c r="M467" s="305"/>
      <c r="N467" s="306"/>
      <c r="O467" s="306"/>
      <c r="P467" s="307"/>
      <c r="Q467" s="26"/>
      <c r="R467" s="26"/>
      <c r="S467" s="37"/>
    </row>
    <row r="468" spans="3:19" ht="14.25" customHeight="1" x14ac:dyDescent="0.2">
      <c r="C468" s="298">
        <v>14</v>
      </c>
      <c r="D468" s="299" t="s">
        <v>87</v>
      </c>
      <c r="E468" s="300"/>
      <c r="F468" s="301"/>
      <c r="G468" s="39" t="s">
        <v>16</v>
      </c>
      <c r="H468" s="33">
        <v>46092</v>
      </c>
      <c r="I468" s="309">
        <v>0.31859953703703703</v>
      </c>
      <c r="J468" s="303">
        <v>0.70854166666666663</v>
      </c>
      <c r="K468" s="304"/>
      <c r="L468" s="304"/>
      <c r="M468" s="305"/>
      <c r="N468" s="306"/>
      <c r="O468" s="306"/>
      <c r="P468" s="307"/>
      <c r="Q468" s="26"/>
      <c r="R468" s="26"/>
      <c r="S468" s="37"/>
    </row>
    <row r="469" spans="3:19" ht="14.25" customHeight="1" x14ac:dyDescent="0.2">
      <c r="C469" s="298">
        <v>14</v>
      </c>
      <c r="D469" s="299" t="s">
        <v>87</v>
      </c>
      <c r="E469" s="300"/>
      <c r="F469" s="301"/>
      <c r="G469" s="39" t="s">
        <v>17</v>
      </c>
      <c r="H469" s="33">
        <v>46093</v>
      </c>
      <c r="I469" s="309">
        <v>0.31835648148148149</v>
      </c>
      <c r="J469" s="303">
        <v>0.71026620370370364</v>
      </c>
      <c r="K469" s="304"/>
      <c r="L469" s="304"/>
      <c r="M469" s="305"/>
      <c r="N469" s="306"/>
      <c r="O469" s="306"/>
      <c r="P469" s="307"/>
      <c r="Q469" s="26"/>
      <c r="R469" s="26"/>
      <c r="S469" s="37"/>
    </row>
    <row r="470" spans="3:19" ht="14.25" customHeight="1" x14ac:dyDescent="0.2">
      <c r="C470" s="298">
        <v>14</v>
      </c>
      <c r="D470" s="299" t="s">
        <v>87</v>
      </c>
      <c r="E470" s="300"/>
      <c r="F470" s="301"/>
      <c r="G470" s="48" t="s">
        <v>18</v>
      </c>
      <c r="H470" s="33">
        <v>46094</v>
      </c>
      <c r="I470" s="308">
        <v>0.31650462962962961</v>
      </c>
      <c r="J470" s="303">
        <v>0.71038194444444447</v>
      </c>
      <c r="K470" s="304"/>
      <c r="L470" s="304"/>
      <c r="M470" s="305"/>
      <c r="N470" s="306"/>
      <c r="O470" s="306"/>
      <c r="P470" s="307"/>
      <c r="Q470" s="26"/>
      <c r="R470" s="26"/>
      <c r="S470" s="37"/>
    </row>
    <row r="471" spans="3:19" ht="14.25" customHeight="1" x14ac:dyDescent="0.2">
      <c r="C471" s="298">
        <v>14</v>
      </c>
      <c r="D471" s="299" t="s">
        <v>87</v>
      </c>
      <c r="E471" s="300"/>
      <c r="F471" s="301"/>
      <c r="G471" s="39" t="s">
        <v>19</v>
      </c>
      <c r="H471" s="33">
        <v>46095</v>
      </c>
      <c r="I471" s="309">
        <v>0.32873842592592589</v>
      </c>
      <c r="J471" s="303"/>
      <c r="K471" s="304"/>
      <c r="L471" s="304"/>
      <c r="M471" s="305"/>
      <c r="N471" s="306"/>
      <c r="O471" s="306"/>
      <c r="P471" s="307"/>
      <c r="Q471" s="26"/>
      <c r="R471" s="26"/>
      <c r="S471" s="37"/>
    </row>
    <row r="472" spans="3:19" ht="14.25" customHeight="1" x14ac:dyDescent="0.2">
      <c r="C472" s="298">
        <v>14</v>
      </c>
      <c r="D472" s="299" t="s">
        <v>87</v>
      </c>
      <c r="E472" s="300"/>
      <c r="F472" s="301"/>
      <c r="G472" s="46" t="s">
        <v>13</v>
      </c>
      <c r="H472" s="33">
        <v>46096</v>
      </c>
      <c r="I472" s="309"/>
      <c r="J472" s="303"/>
      <c r="K472" s="304"/>
      <c r="L472" s="304"/>
      <c r="M472" s="305"/>
      <c r="N472" s="306"/>
      <c r="O472" s="306"/>
      <c r="P472" s="44"/>
      <c r="Q472" s="26"/>
      <c r="R472" s="26"/>
      <c r="S472" s="37"/>
    </row>
    <row r="473" spans="3:19" ht="14.25" customHeight="1" x14ac:dyDescent="0.2">
      <c r="C473" s="298">
        <v>14</v>
      </c>
      <c r="D473" s="299" t="s">
        <v>87</v>
      </c>
      <c r="E473" s="300"/>
      <c r="F473" s="301"/>
      <c r="G473" s="39" t="s">
        <v>14</v>
      </c>
      <c r="H473" s="33">
        <v>46097</v>
      </c>
      <c r="I473" s="302"/>
      <c r="J473" s="303"/>
      <c r="K473" s="304"/>
      <c r="L473" s="304"/>
      <c r="M473" s="305"/>
      <c r="N473" s="306"/>
      <c r="O473" s="306"/>
      <c r="P473" s="307"/>
      <c r="Q473" s="26"/>
      <c r="R473" s="26"/>
      <c r="S473" s="37"/>
    </row>
    <row r="474" spans="3:19" ht="14.25" customHeight="1" x14ac:dyDescent="0.2">
      <c r="C474" s="298">
        <v>14</v>
      </c>
      <c r="D474" s="299" t="s">
        <v>87</v>
      </c>
      <c r="E474" s="300"/>
      <c r="F474" s="301"/>
      <c r="G474" s="39" t="s">
        <v>15</v>
      </c>
      <c r="H474" s="33">
        <v>46098</v>
      </c>
      <c r="I474" s="302"/>
      <c r="J474" s="303"/>
      <c r="K474" s="304"/>
      <c r="L474" s="304"/>
      <c r="M474" s="305"/>
      <c r="N474" s="306"/>
      <c r="O474" s="306"/>
      <c r="P474" s="307"/>
      <c r="Q474" s="26"/>
      <c r="R474" s="26"/>
      <c r="S474" s="37"/>
    </row>
    <row r="475" spans="3:19" ht="14.25" customHeight="1" x14ac:dyDescent="0.2">
      <c r="C475" s="298">
        <v>14</v>
      </c>
      <c r="D475" s="299" t="s">
        <v>87</v>
      </c>
      <c r="E475" s="300"/>
      <c r="F475" s="301"/>
      <c r="G475" s="39" t="s">
        <v>16</v>
      </c>
      <c r="H475" s="33">
        <v>46099</v>
      </c>
      <c r="I475" s="308"/>
      <c r="J475" s="303"/>
      <c r="K475" s="304"/>
      <c r="L475" s="304"/>
      <c r="M475" s="305"/>
      <c r="N475" s="306"/>
      <c r="O475" s="306"/>
      <c r="P475" s="307"/>
      <c r="Q475" s="26"/>
      <c r="R475" s="26"/>
      <c r="S475" s="37"/>
    </row>
    <row r="476" spans="3:19" ht="14.25" customHeight="1" x14ac:dyDescent="0.2">
      <c r="C476" s="298">
        <v>14</v>
      </c>
      <c r="D476" s="299" t="s">
        <v>87</v>
      </c>
      <c r="E476" s="300"/>
      <c r="F476" s="301"/>
      <c r="G476" s="39" t="s">
        <v>17</v>
      </c>
      <c r="H476" s="33">
        <v>46100</v>
      </c>
      <c r="I476" s="308"/>
      <c r="J476" s="303"/>
      <c r="K476" s="304"/>
      <c r="L476" s="304"/>
      <c r="M476" s="305"/>
      <c r="N476" s="306"/>
      <c r="O476" s="306"/>
      <c r="P476" s="307"/>
      <c r="Q476" s="26"/>
      <c r="R476" s="26"/>
      <c r="S476" s="37"/>
    </row>
    <row r="477" spans="3:19" ht="14.25" customHeight="1" x14ac:dyDescent="0.2">
      <c r="C477" s="298">
        <v>14</v>
      </c>
      <c r="D477" s="299" t="s">
        <v>87</v>
      </c>
      <c r="E477" s="300"/>
      <c r="F477" s="301"/>
      <c r="G477" s="39" t="s">
        <v>18</v>
      </c>
      <c r="H477" s="33">
        <v>46101</v>
      </c>
      <c r="I477" s="309"/>
      <c r="J477" s="303"/>
      <c r="K477" s="304"/>
      <c r="L477" s="304"/>
      <c r="M477" s="305"/>
      <c r="N477" s="306"/>
      <c r="O477" s="306"/>
      <c r="P477" s="307"/>
      <c r="Q477" s="26"/>
      <c r="R477" s="26"/>
      <c r="S477" s="37"/>
    </row>
    <row r="478" spans="3:19" ht="14.25" customHeight="1" x14ac:dyDescent="0.2">
      <c r="C478" s="298">
        <v>14</v>
      </c>
      <c r="D478" s="299" t="s">
        <v>87</v>
      </c>
      <c r="E478" s="300"/>
      <c r="F478" s="301"/>
      <c r="G478" s="39" t="s">
        <v>19</v>
      </c>
      <c r="H478" s="33">
        <v>46102</v>
      </c>
      <c r="I478" s="309"/>
      <c r="J478" s="303"/>
      <c r="K478" s="304"/>
      <c r="L478" s="304"/>
      <c r="M478" s="305"/>
      <c r="N478" s="306"/>
      <c r="O478" s="306"/>
      <c r="P478" s="307"/>
      <c r="Q478" s="26"/>
      <c r="R478" s="26"/>
      <c r="S478" s="37"/>
    </row>
    <row r="479" spans="3:19" ht="14.25" customHeight="1" x14ac:dyDescent="0.2">
      <c r="C479" s="298">
        <v>14</v>
      </c>
      <c r="D479" s="299" t="s">
        <v>87</v>
      </c>
      <c r="E479" s="300"/>
      <c r="F479" s="301"/>
      <c r="G479" s="46" t="s">
        <v>13</v>
      </c>
      <c r="H479" s="33">
        <v>46103</v>
      </c>
      <c r="I479" s="309"/>
      <c r="J479" s="303"/>
      <c r="K479" s="304"/>
      <c r="L479" s="304"/>
      <c r="M479" s="305"/>
      <c r="N479" s="306"/>
      <c r="O479" s="306"/>
      <c r="P479" s="307"/>
      <c r="Q479" s="26"/>
      <c r="R479" s="26"/>
      <c r="S479" s="37"/>
    </row>
    <row r="480" spans="3:19" ht="14.25" customHeight="1" x14ac:dyDescent="0.2">
      <c r="C480" s="298">
        <v>14</v>
      </c>
      <c r="D480" s="299" t="s">
        <v>87</v>
      </c>
      <c r="E480" s="300"/>
      <c r="F480" s="301"/>
      <c r="G480" s="39" t="s">
        <v>14</v>
      </c>
      <c r="H480" s="33">
        <v>46104</v>
      </c>
      <c r="I480" s="308"/>
      <c r="J480" s="303"/>
      <c r="K480" s="304"/>
      <c r="L480" s="304"/>
      <c r="M480" s="305"/>
      <c r="N480" s="306"/>
      <c r="O480" s="306"/>
      <c r="P480" s="307"/>
      <c r="Q480" s="26"/>
      <c r="R480" s="26"/>
      <c r="S480" s="37"/>
    </row>
    <row r="481" spans="3:19" ht="14.25" customHeight="1" x14ac:dyDescent="0.2">
      <c r="C481" s="298">
        <v>14</v>
      </c>
      <c r="D481" s="299" t="s">
        <v>87</v>
      </c>
      <c r="E481" s="300"/>
      <c r="F481" s="301"/>
      <c r="G481" s="39" t="s">
        <v>15</v>
      </c>
      <c r="H481" s="33">
        <v>46105</v>
      </c>
      <c r="I481" s="309"/>
      <c r="J481" s="303"/>
      <c r="K481" s="304"/>
      <c r="L481" s="304"/>
      <c r="M481" s="305"/>
      <c r="N481" s="306"/>
      <c r="O481" s="306"/>
      <c r="P481" s="307"/>
      <c r="Q481" s="26"/>
      <c r="R481" s="26"/>
      <c r="S481" s="37"/>
    </row>
    <row r="482" spans="3:19" ht="14.25" customHeight="1" x14ac:dyDescent="0.2">
      <c r="C482" s="298">
        <v>14</v>
      </c>
      <c r="D482" s="299" t="s">
        <v>87</v>
      </c>
      <c r="E482" s="300"/>
      <c r="F482" s="301"/>
      <c r="G482" s="39" t="s">
        <v>16</v>
      </c>
      <c r="H482" s="33">
        <v>46106</v>
      </c>
      <c r="I482" s="309"/>
      <c r="J482" s="303"/>
      <c r="K482" s="304"/>
      <c r="L482" s="304"/>
      <c r="M482" s="305"/>
      <c r="N482" s="306"/>
      <c r="O482" s="306"/>
      <c r="P482" s="307"/>
      <c r="Q482" s="26"/>
      <c r="R482" s="26"/>
      <c r="S482" s="37"/>
    </row>
    <row r="483" spans="3:19" ht="14.25" customHeight="1" x14ac:dyDescent="0.2">
      <c r="C483" s="298">
        <v>14</v>
      </c>
      <c r="D483" s="299" t="s">
        <v>87</v>
      </c>
      <c r="E483" s="300"/>
      <c r="F483" s="301"/>
      <c r="G483" s="39" t="s">
        <v>17</v>
      </c>
      <c r="H483" s="33">
        <v>46107</v>
      </c>
      <c r="I483" s="308"/>
      <c r="J483" s="303"/>
      <c r="K483" s="304"/>
      <c r="L483" s="304"/>
      <c r="M483" s="305"/>
      <c r="N483" s="306"/>
      <c r="O483" s="306"/>
      <c r="P483" s="307"/>
      <c r="Q483" s="26"/>
      <c r="R483" s="26"/>
      <c r="S483" s="37"/>
    </row>
    <row r="484" spans="3:19" ht="14.25" customHeight="1" x14ac:dyDescent="0.2">
      <c r="C484" s="298">
        <v>14</v>
      </c>
      <c r="D484" s="299" t="s">
        <v>87</v>
      </c>
      <c r="E484" s="300"/>
      <c r="F484" s="301"/>
      <c r="G484" s="39" t="s">
        <v>18</v>
      </c>
      <c r="H484" s="33">
        <v>46108</v>
      </c>
      <c r="I484" s="309"/>
      <c r="J484" s="303"/>
      <c r="K484" s="304"/>
      <c r="L484" s="304"/>
      <c r="M484" s="305"/>
      <c r="N484" s="306"/>
      <c r="O484" s="306"/>
      <c r="P484" s="307"/>
      <c r="Q484" s="26"/>
      <c r="R484" s="26"/>
      <c r="S484" s="37"/>
    </row>
    <row r="485" spans="3:19" ht="14.25" customHeight="1" x14ac:dyDescent="0.2">
      <c r="C485" s="298">
        <v>14</v>
      </c>
      <c r="D485" s="299" t="s">
        <v>87</v>
      </c>
      <c r="E485" s="300"/>
      <c r="F485" s="301"/>
      <c r="G485" s="39" t="s">
        <v>19</v>
      </c>
      <c r="H485" s="33">
        <v>46109</v>
      </c>
      <c r="I485" s="309"/>
      <c r="J485" s="303"/>
      <c r="K485" s="304"/>
      <c r="L485" s="304"/>
      <c r="M485" s="305"/>
      <c r="N485" s="306"/>
      <c r="O485" s="306"/>
      <c r="P485" s="307"/>
      <c r="Q485" s="26"/>
      <c r="R485" s="26"/>
      <c r="S485" s="37"/>
    </row>
    <row r="486" spans="3:19" ht="14.25" customHeight="1" x14ac:dyDescent="0.2">
      <c r="C486" s="298">
        <v>14</v>
      </c>
      <c r="D486" s="299" t="s">
        <v>87</v>
      </c>
      <c r="E486" s="300"/>
      <c r="F486" s="301"/>
      <c r="G486" s="46" t="s">
        <v>13</v>
      </c>
      <c r="H486" s="33">
        <v>46110</v>
      </c>
      <c r="I486" s="309"/>
      <c r="J486" s="303"/>
      <c r="K486" s="304"/>
      <c r="L486" s="304"/>
      <c r="M486" s="305"/>
      <c r="N486" s="306"/>
      <c r="O486" s="306"/>
      <c r="P486" s="307"/>
      <c r="Q486" s="26"/>
      <c r="R486" s="26"/>
      <c r="S486" s="37"/>
    </row>
    <row r="487" spans="3:19" ht="14.25" customHeight="1" x14ac:dyDescent="0.2">
      <c r="C487" s="298">
        <v>14</v>
      </c>
      <c r="D487" s="299" t="s">
        <v>87</v>
      </c>
      <c r="E487" s="300"/>
      <c r="F487" s="301"/>
      <c r="G487" s="39" t="s">
        <v>14</v>
      </c>
      <c r="H487" s="33">
        <v>46111</v>
      </c>
      <c r="I487" s="309"/>
      <c r="J487" s="303"/>
      <c r="K487" s="304"/>
      <c r="L487" s="304"/>
      <c r="M487" s="305"/>
      <c r="N487" s="306"/>
      <c r="O487" s="306"/>
      <c r="P487" s="307"/>
      <c r="Q487" s="26"/>
      <c r="R487" s="26"/>
      <c r="S487" s="37"/>
    </row>
    <row r="488" spans="3:19" ht="14.25" customHeight="1" x14ac:dyDescent="0.2">
      <c r="C488" s="298">
        <v>14</v>
      </c>
      <c r="D488" s="299" t="s">
        <v>87</v>
      </c>
      <c r="E488" s="300"/>
      <c r="F488" s="301"/>
      <c r="G488" s="39" t="s">
        <v>15</v>
      </c>
      <c r="H488" s="33">
        <v>46112</v>
      </c>
      <c r="I488" s="309"/>
      <c r="J488" s="303"/>
      <c r="K488" s="304"/>
      <c r="L488" s="304"/>
      <c r="M488" s="305"/>
      <c r="N488" s="306"/>
      <c r="O488" s="306"/>
      <c r="P488" s="307"/>
      <c r="Q488" s="26"/>
      <c r="R488" s="26"/>
      <c r="S488" s="37"/>
    </row>
    <row r="489" spans="3:19" ht="14.25" customHeight="1" x14ac:dyDescent="0.2">
      <c r="C489" s="298"/>
      <c r="D489" s="299"/>
      <c r="E489" s="300"/>
      <c r="F489" s="301"/>
      <c r="G489" s="39"/>
      <c r="H489" s="33"/>
      <c r="I489" s="303"/>
      <c r="J489" s="303"/>
      <c r="K489" s="304"/>
      <c r="L489" s="304"/>
      <c r="M489" s="305"/>
      <c r="N489" s="306"/>
      <c r="O489" s="306"/>
      <c r="P489" s="307"/>
      <c r="Q489" s="26"/>
      <c r="R489" s="26"/>
      <c r="S489" s="37"/>
    </row>
    <row r="490" spans="3:19" ht="14.25" customHeight="1" x14ac:dyDescent="0.2">
      <c r="C490" s="310"/>
      <c r="D490" s="311"/>
      <c r="E490" s="312"/>
      <c r="F490" s="312"/>
      <c r="G490" s="324"/>
      <c r="H490" s="325"/>
      <c r="I490" s="315" t="str">
        <f>D462</f>
        <v>EKO P</v>
      </c>
      <c r="J490" s="316" t="s">
        <v>20</v>
      </c>
      <c r="K490" s="317"/>
      <c r="L490" s="317"/>
      <c r="M490" s="318">
        <f>SUM(M462:M489)</f>
        <v>0</v>
      </c>
      <c r="N490" s="322">
        <f>SUM(N462:N489)</f>
        <v>0</v>
      </c>
      <c r="O490" s="322">
        <f>SUM(O462:O489)</f>
        <v>0</v>
      </c>
      <c r="P490" s="307"/>
      <c r="Q490" s="26"/>
      <c r="R490" s="26"/>
      <c r="S490" s="37"/>
    </row>
    <row r="491" spans="3:19" ht="14.25" customHeight="1" x14ac:dyDescent="0.2"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 s="26"/>
      <c r="R491" s="26"/>
      <c r="S491" s="37"/>
    </row>
    <row r="492" spans="3:19" ht="14.25" customHeight="1" x14ac:dyDescent="0.2"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 s="26"/>
      <c r="R492" s="26"/>
      <c r="S492" s="37"/>
    </row>
    <row r="493" spans="3:19" ht="14.25" customHeight="1" x14ac:dyDescent="0.2">
      <c r="C493" s="66" t="s">
        <v>1</v>
      </c>
      <c r="D493" s="67" t="s">
        <v>2</v>
      </c>
      <c r="E493" s="68" t="s">
        <v>3</v>
      </c>
      <c r="F493" s="68" t="s">
        <v>4</v>
      </c>
      <c r="G493" s="69" t="s">
        <v>5</v>
      </c>
      <c r="H493" s="68" t="s">
        <v>6</v>
      </c>
      <c r="I493" s="70" t="s">
        <v>7</v>
      </c>
      <c r="J493" s="70" t="s">
        <v>8</v>
      </c>
      <c r="K493" s="71"/>
      <c r="L493" s="72"/>
      <c r="M493" s="72" t="s">
        <v>9</v>
      </c>
      <c r="N493" s="73" t="s">
        <v>10</v>
      </c>
      <c r="O493" s="73" t="s">
        <v>11</v>
      </c>
      <c r="P493" s="307"/>
      <c r="Q493" s="26"/>
      <c r="R493" s="26"/>
      <c r="S493" s="37"/>
    </row>
    <row r="494" spans="3:19" ht="14.25" customHeight="1" x14ac:dyDescent="0.2">
      <c r="C494" s="298">
        <v>15</v>
      </c>
      <c r="D494" s="299" t="s">
        <v>38</v>
      </c>
      <c r="E494" s="300"/>
      <c r="F494" s="301"/>
      <c r="G494" s="32" t="s">
        <v>13</v>
      </c>
      <c r="H494" s="33">
        <v>46082</v>
      </c>
      <c r="I494" s="308">
        <v>0.31194444444444441</v>
      </c>
      <c r="J494" s="303">
        <v>0.66695601851851849</v>
      </c>
      <c r="K494" s="304"/>
      <c r="L494" s="304"/>
      <c r="M494" s="305"/>
      <c r="N494" s="306"/>
      <c r="O494" s="306">
        <v>1</v>
      </c>
      <c r="P494" s="307"/>
      <c r="Q494" s="26"/>
      <c r="R494" s="26"/>
      <c r="S494" s="37"/>
    </row>
    <row r="495" spans="3:19" ht="14.25" customHeight="1" x14ac:dyDescent="0.2">
      <c r="C495" s="298">
        <v>15</v>
      </c>
      <c r="D495" s="299" t="s">
        <v>38</v>
      </c>
      <c r="E495" s="300"/>
      <c r="F495" s="301"/>
      <c r="G495" s="29" t="s">
        <v>14</v>
      </c>
      <c r="H495" s="33">
        <v>46083</v>
      </c>
      <c r="I495" s="308">
        <v>0.32131944444444444</v>
      </c>
      <c r="J495" s="303"/>
      <c r="K495" s="304"/>
      <c r="L495" s="304"/>
      <c r="M495" s="305"/>
      <c r="N495" s="306"/>
      <c r="O495" s="306"/>
      <c r="P495" s="307"/>
      <c r="Q495" s="26"/>
      <c r="R495" s="26"/>
      <c r="S495" s="37"/>
    </row>
    <row r="496" spans="3:19" ht="14.25" customHeight="1" x14ac:dyDescent="0.2">
      <c r="C496" s="298">
        <v>15</v>
      </c>
      <c r="D496" s="299" t="s">
        <v>38</v>
      </c>
      <c r="E496" s="300"/>
      <c r="F496" s="301"/>
      <c r="G496" s="39" t="s">
        <v>15</v>
      </c>
      <c r="H496" s="33">
        <v>46084</v>
      </c>
      <c r="I496" s="309">
        <v>0.32534722222222223</v>
      </c>
      <c r="J496" s="303">
        <v>0.84378472222222223</v>
      </c>
      <c r="K496" s="304"/>
      <c r="L496" s="304"/>
      <c r="M496" s="305">
        <v>3</v>
      </c>
      <c r="N496" s="306"/>
      <c r="O496" s="306"/>
      <c r="P496" s="307"/>
      <c r="Q496" s="26"/>
      <c r="R496" s="26"/>
      <c r="S496" s="37"/>
    </row>
    <row r="497" spans="3:19" ht="14.25" customHeight="1" x14ac:dyDescent="0.2">
      <c r="C497" s="298">
        <v>15</v>
      </c>
      <c r="D497" s="299" t="s">
        <v>38</v>
      </c>
      <c r="E497" s="300"/>
      <c r="F497" s="301"/>
      <c r="G497" s="39" t="s">
        <v>16</v>
      </c>
      <c r="H497" s="33">
        <v>46085</v>
      </c>
      <c r="I497" s="309">
        <v>0.30321759259259257</v>
      </c>
      <c r="J497" s="303">
        <v>0.7096527777777778</v>
      </c>
      <c r="K497" s="304"/>
      <c r="L497" s="304"/>
      <c r="M497" s="305"/>
      <c r="N497" s="306"/>
      <c r="O497" s="306"/>
      <c r="P497" s="307"/>
      <c r="Q497" s="26"/>
      <c r="R497" s="26"/>
      <c r="S497" s="37"/>
    </row>
    <row r="498" spans="3:19" ht="14.25" customHeight="1" x14ac:dyDescent="0.2">
      <c r="C498" s="298">
        <v>15</v>
      </c>
      <c r="D498" s="299" t="s">
        <v>38</v>
      </c>
      <c r="E498" s="300"/>
      <c r="F498" s="301"/>
      <c r="G498" s="39" t="s">
        <v>17</v>
      </c>
      <c r="H498" s="33">
        <v>46086</v>
      </c>
      <c r="I498" s="309">
        <v>0.32317129629629632</v>
      </c>
      <c r="J498" s="303">
        <v>0.7087268518518518</v>
      </c>
      <c r="K498" s="304"/>
      <c r="L498" s="304"/>
      <c r="M498" s="305"/>
      <c r="N498" s="306"/>
      <c r="O498" s="306"/>
      <c r="P498" s="307"/>
      <c r="Q498" s="26"/>
      <c r="R498" s="26"/>
      <c r="S498" s="37"/>
    </row>
    <row r="499" spans="3:19" ht="14.25" customHeight="1" x14ac:dyDescent="0.2">
      <c r="C499" s="298">
        <v>15</v>
      </c>
      <c r="D499" s="299" t="s">
        <v>38</v>
      </c>
      <c r="E499" s="300"/>
      <c r="F499" s="301"/>
      <c r="G499" s="45" t="s">
        <v>18</v>
      </c>
      <c r="H499" s="33">
        <v>46087</v>
      </c>
      <c r="I499" s="309">
        <v>0.32520833333333332</v>
      </c>
      <c r="J499" s="303"/>
      <c r="K499" s="304"/>
      <c r="L499" s="304"/>
      <c r="M499" s="305"/>
      <c r="N499" s="306"/>
      <c r="O499" s="306"/>
      <c r="P499" s="307"/>
      <c r="Q499" s="26"/>
      <c r="R499" s="26"/>
      <c r="S499" s="37"/>
    </row>
    <row r="500" spans="3:19" ht="14.25" customHeight="1" x14ac:dyDescent="0.2">
      <c r="C500" s="298">
        <v>15</v>
      </c>
      <c r="D500" s="299" t="s">
        <v>38</v>
      </c>
      <c r="E500" s="300"/>
      <c r="F500" s="301"/>
      <c r="G500" s="39" t="s">
        <v>19</v>
      </c>
      <c r="H500" s="33">
        <v>46088</v>
      </c>
      <c r="I500" s="309">
        <v>0.31918981481481484</v>
      </c>
      <c r="J500" s="303">
        <v>0.54628472222222224</v>
      </c>
      <c r="K500" s="304"/>
      <c r="L500" s="304"/>
      <c r="M500" s="305"/>
      <c r="N500" s="306"/>
      <c r="O500" s="306"/>
      <c r="P500" s="307"/>
      <c r="Q500" s="26"/>
      <c r="R500" s="26"/>
      <c r="S500" s="37"/>
    </row>
    <row r="501" spans="3:19" ht="14.25" customHeight="1" x14ac:dyDescent="0.25">
      <c r="C501" s="298">
        <v>15</v>
      </c>
      <c r="D501" s="299" t="s">
        <v>38</v>
      </c>
      <c r="E501" s="300"/>
      <c r="F501" s="301"/>
      <c r="G501" s="46" t="s">
        <v>13</v>
      </c>
      <c r="H501" s="33">
        <v>46089</v>
      </c>
      <c r="I501" s="308">
        <v>0.32371527777777781</v>
      </c>
      <c r="J501" s="5">
        <v>0.66673611111111108</v>
      </c>
      <c r="K501" s="304"/>
      <c r="L501" s="304"/>
      <c r="M501" s="305"/>
      <c r="N501" s="306"/>
      <c r="O501" s="306">
        <v>1</v>
      </c>
      <c r="P501" s="307"/>
      <c r="Q501" s="26"/>
      <c r="R501" s="26"/>
      <c r="S501" s="37"/>
    </row>
    <row r="502" spans="3:19" ht="14.25" customHeight="1" x14ac:dyDescent="0.25">
      <c r="C502" s="298">
        <v>15</v>
      </c>
      <c r="D502" s="299" t="s">
        <v>38</v>
      </c>
      <c r="E502" s="300"/>
      <c r="F502" s="301"/>
      <c r="G502" s="39" t="s">
        <v>14</v>
      </c>
      <c r="H502" s="33">
        <v>46090</v>
      </c>
      <c r="I502" s="5">
        <v>0.32450231481481479</v>
      </c>
      <c r="J502" s="309">
        <v>0.70868055555555554</v>
      </c>
      <c r="K502" s="304"/>
      <c r="L502" s="304"/>
      <c r="M502" s="305"/>
      <c r="N502" s="306"/>
      <c r="O502" s="306"/>
      <c r="P502" s="307"/>
      <c r="Q502" s="26"/>
      <c r="R502" s="26"/>
      <c r="S502" s="37"/>
    </row>
    <row r="503" spans="3:19" ht="14.25" customHeight="1" x14ac:dyDescent="0.2">
      <c r="C503" s="298">
        <v>15</v>
      </c>
      <c r="D503" s="299" t="s">
        <v>38</v>
      </c>
      <c r="E503" s="300"/>
      <c r="F503" s="301"/>
      <c r="G503" s="39" t="s">
        <v>15</v>
      </c>
      <c r="H503" s="33">
        <v>46091</v>
      </c>
      <c r="I503" s="308">
        <v>0.32049768518518518</v>
      </c>
      <c r="J503" s="303">
        <v>0.70854166666666663</v>
      </c>
      <c r="K503" s="304"/>
      <c r="L503" s="304"/>
      <c r="M503" s="305"/>
      <c r="N503" s="306"/>
      <c r="O503" s="306"/>
      <c r="P503" s="307"/>
      <c r="Q503" s="26"/>
      <c r="R503" s="26"/>
      <c r="S503" s="37"/>
    </row>
    <row r="504" spans="3:19" ht="14.25" customHeight="1" x14ac:dyDescent="0.2">
      <c r="C504" s="298">
        <v>15</v>
      </c>
      <c r="D504" s="299" t="s">
        <v>38</v>
      </c>
      <c r="E504" s="300"/>
      <c r="F504" s="301"/>
      <c r="G504" s="39" t="s">
        <v>16</v>
      </c>
      <c r="H504" s="33">
        <v>46092</v>
      </c>
      <c r="I504" s="309">
        <v>0.31835648148148149</v>
      </c>
      <c r="J504" s="303">
        <v>0.84459490740740739</v>
      </c>
      <c r="K504" s="304"/>
      <c r="L504" s="304"/>
      <c r="M504" s="305">
        <v>3</v>
      </c>
      <c r="N504" s="306"/>
      <c r="O504" s="306"/>
      <c r="P504" s="307"/>
      <c r="Q504" s="26"/>
      <c r="R504" s="26"/>
      <c r="S504" s="37"/>
    </row>
    <row r="505" spans="3:19" ht="14.25" customHeight="1" x14ac:dyDescent="0.2">
      <c r="C505" s="298">
        <v>15</v>
      </c>
      <c r="D505" s="299" t="s">
        <v>38</v>
      </c>
      <c r="E505" s="300"/>
      <c r="F505" s="301"/>
      <c r="G505" s="39" t="s">
        <v>17</v>
      </c>
      <c r="H505" s="33">
        <v>46093</v>
      </c>
      <c r="I505" s="309">
        <v>0.31510416666666669</v>
      </c>
      <c r="J505" s="303">
        <v>0.70847222222222228</v>
      </c>
      <c r="K505" s="304"/>
      <c r="L505" s="304"/>
      <c r="M505" s="305"/>
      <c r="N505" s="306"/>
      <c r="O505" s="306"/>
      <c r="P505" s="307"/>
      <c r="Q505" s="26"/>
      <c r="R505" s="26"/>
      <c r="S505" s="37"/>
    </row>
    <row r="506" spans="3:19" ht="14.25" customHeight="1" x14ac:dyDescent="0.2">
      <c r="C506" s="298">
        <v>15</v>
      </c>
      <c r="D506" s="299" t="s">
        <v>38</v>
      </c>
      <c r="E506" s="300"/>
      <c r="F506" s="301"/>
      <c r="G506" s="48" t="s">
        <v>18</v>
      </c>
      <c r="H506" s="33">
        <v>46094</v>
      </c>
      <c r="I506" s="308">
        <v>0.32277777777777777</v>
      </c>
      <c r="J506" s="303">
        <v>0.7084259259259259</v>
      </c>
      <c r="K506" s="304"/>
      <c r="L506" s="304"/>
      <c r="M506" s="305"/>
      <c r="N506" s="306"/>
      <c r="O506" s="306"/>
      <c r="P506" s="307"/>
      <c r="Q506" s="26"/>
      <c r="R506" s="26"/>
      <c r="S506" s="37"/>
    </row>
    <row r="507" spans="3:19" ht="14.25" customHeight="1" x14ac:dyDescent="0.2">
      <c r="C507" s="298">
        <v>15</v>
      </c>
      <c r="D507" s="299" t="s">
        <v>38</v>
      </c>
      <c r="E507" s="300"/>
      <c r="F507" s="301"/>
      <c r="G507" s="39" t="s">
        <v>19</v>
      </c>
      <c r="H507" s="33">
        <v>46095</v>
      </c>
      <c r="I507" s="309">
        <v>0.32829861111111108</v>
      </c>
      <c r="J507" s="303"/>
      <c r="K507" s="304"/>
      <c r="L507" s="304"/>
      <c r="M507" s="305"/>
      <c r="N507" s="306"/>
      <c r="O507" s="306"/>
      <c r="P507" s="307"/>
      <c r="Q507" s="26"/>
      <c r="R507" s="26"/>
      <c r="S507" s="37"/>
    </row>
    <row r="508" spans="3:19" ht="14.25" customHeight="1" x14ac:dyDescent="0.2">
      <c r="C508" s="298">
        <v>15</v>
      </c>
      <c r="D508" s="299" t="s">
        <v>38</v>
      </c>
      <c r="E508" s="300"/>
      <c r="F508" s="301"/>
      <c r="G508" s="46" t="s">
        <v>13</v>
      </c>
      <c r="H508" s="33">
        <v>46096</v>
      </c>
      <c r="I508" s="309"/>
      <c r="J508" s="303"/>
      <c r="K508" s="304"/>
      <c r="L508" s="304"/>
      <c r="M508" s="305"/>
      <c r="N508" s="306"/>
      <c r="O508" s="306"/>
      <c r="P508" s="44"/>
      <c r="Q508" s="26"/>
      <c r="R508" s="26"/>
      <c r="S508" s="37"/>
    </row>
    <row r="509" spans="3:19" x14ac:dyDescent="0.2">
      <c r="C509" s="298">
        <v>15</v>
      </c>
      <c r="D509" s="299" t="s">
        <v>38</v>
      </c>
      <c r="E509" s="300"/>
      <c r="F509" s="301"/>
      <c r="G509" s="39" t="s">
        <v>14</v>
      </c>
      <c r="H509" s="33">
        <v>46097</v>
      </c>
      <c r="I509" s="302"/>
      <c r="J509" s="303"/>
      <c r="K509" s="304"/>
      <c r="L509" s="304"/>
      <c r="M509" s="305"/>
      <c r="N509" s="306"/>
      <c r="O509" s="306"/>
      <c r="P509" s="307"/>
      <c r="Q509" s="26"/>
      <c r="R509" s="26"/>
      <c r="S509" s="37"/>
    </row>
    <row r="510" spans="3:19" x14ac:dyDescent="0.2">
      <c r="C510" s="298">
        <v>15</v>
      </c>
      <c r="D510" s="299" t="s">
        <v>38</v>
      </c>
      <c r="E510" s="300"/>
      <c r="F510" s="301"/>
      <c r="G510" s="39" t="s">
        <v>15</v>
      </c>
      <c r="H510" s="33">
        <v>46098</v>
      </c>
      <c r="I510" s="302"/>
      <c r="J510" s="303"/>
      <c r="K510" s="304"/>
      <c r="L510" s="304"/>
      <c r="M510" s="305"/>
      <c r="N510" s="306"/>
      <c r="O510" s="306"/>
      <c r="P510" s="307"/>
      <c r="Q510" s="26"/>
      <c r="R510" s="26"/>
      <c r="S510" s="37"/>
    </row>
    <row r="511" spans="3:19" x14ac:dyDescent="0.2">
      <c r="C511" s="298">
        <v>15</v>
      </c>
      <c r="D511" s="299" t="s">
        <v>38</v>
      </c>
      <c r="E511" s="300"/>
      <c r="F511" s="301"/>
      <c r="G511" s="39" t="s">
        <v>16</v>
      </c>
      <c r="H511" s="33">
        <v>46099</v>
      </c>
      <c r="I511" s="308"/>
      <c r="J511" s="303"/>
      <c r="K511" s="304"/>
      <c r="L511" s="304"/>
      <c r="M511" s="305"/>
      <c r="N511" s="306"/>
      <c r="O511" s="306"/>
      <c r="P511" s="307"/>
      <c r="Q511" s="26"/>
      <c r="R511" s="26"/>
      <c r="S511" s="37"/>
    </row>
    <row r="512" spans="3:19" x14ac:dyDescent="0.2">
      <c r="C512" s="298">
        <v>15</v>
      </c>
      <c r="D512" s="299" t="s">
        <v>38</v>
      </c>
      <c r="E512" s="300"/>
      <c r="F512" s="301"/>
      <c r="G512" s="39" t="s">
        <v>17</v>
      </c>
      <c r="H512" s="33">
        <v>46100</v>
      </c>
      <c r="I512" s="308"/>
      <c r="J512" s="303"/>
      <c r="K512" s="304"/>
      <c r="L512" s="304"/>
      <c r="M512" s="305"/>
      <c r="N512" s="306"/>
      <c r="O512" s="306"/>
      <c r="P512" s="307"/>
      <c r="Q512" s="26"/>
      <c r="R512" s="26"/>
      <c r="S512" s="37"/>
    </row>
    <row r="513" spans="3:19" x14ac:dyDescent="0.2">
      <c r="C513" s="298">
        <v>15</v>
      </c>
      <c r="D513" s="299" t="s">
        <v>38</v>
      </c>
      <c r="E513" s="300"/>
      <c r="F513" s="301"/>
      <c r="G513" s="39" t="s">
        <v>18</v>
      </c>
      <c r="H513" s="33">
        <v>46101</v>
      </c>
      <c r="I513" s="309"/>
      <c r="J513" s="303"/>
      <c r="K513" s="304"/>
      <c r="L513" s="304"/>
      <c r="M513" s="305"/>
      <c r="N513" s="306"/>
      <c r="O513" s="306"/>
      <c r="P513" s="307"/>
      <c r="Q513" s="26"/>
      <c r="R513" s="26"/>
      <c r="S513" s="37"/>
    </row>
    <row r="514" spans="3:19" x14ac:dyDescent="0.2">
      <c r="C514" s="298">
        <v>15</v>
      </c>
      <c r="D514" s="299" t="s">
        <v>38</v>
      </c>
      <c r="E514" s="300"/>
      <c r="F514" s="301"/>
      <c r="G514" s="39" t="s">
        <v>19</v>
      </c>
      <c r="H514" s="33">
        <v>46102</v>
      </c>
      <c r="I514" s="309"/>
      <c r="J514" s="303"/>
      <c r="K514" s="304"/>
      <c r="L514" s="304"/>
      <c r="M514" s="305"/>
      <c r="N514" s="306"/>
      <c r="O514" s="306"/>
      <c r="P514" s="307"/>
      <c r="Q514" s="26"/>
      <c r="R514" s="26"/>
      <c r="S514" s="37"/>
    </row>
    <row r="515" spans="3:19" x14ac:dyDescent="0.2">
      <c r="C515" s="298">
        <v>15</v>
      </c>
      <c r="D515" s="299" t="s">
        <v>38</v>
      </c>
      <c r="E515" s="300"/>
      <c r="F515" s="301"/>
      <c r="G515" s="46" t="s">
        <v>13</v>
      </c>
      <c r="H515" s="33">
        <v>46103</v>
      </c>
      <c r="I515" s="309"/>
      <c r="J515" s="303"/>
      <c r="K515" s="304"/>
      <c r="L515" s="304"/>
      <c r="M515" s="305"/>
      <c r="N515" s="306"/>
      <c r="O515" s="306"/>
      <c r="P515" s="307"/>
      <c r="Q515" s="26"/>
      <c r="R515" s="26"/>
      <c r="S515" s="37"/>
    </row>
    <row r="516" spans="3:19" x14ac:dyDescent="0.2">
      <c r="C516" s="298">
        <v>15</v>
      </c>
      <c r="D516" s="299" t="s">
        <v>38</v>
      </c>
      <c r="E516" s="300"/>
      <c r="F516" s="301"/>
      <c r="G516" s="39" t="s">
        <v>14</v>
      </c>
      <c r="H516" s="33">
        <v>46104</v>
      </c>
      <c r="I516" s="308"/>
      <c r="J516" s="303"/>
      <c r="K516" s="304"/>
      <c r="L516" s="304"/>
      <c r="M516" s="305"/>
      <c r="N516" s="306"/>
      <c r="O516" s="306"/>
      <c r="P516" s="307"/>
      <c r="Q516" s="26"/>
      <c r="R516" s="26"/>
      <c r="S516" s="37"/>
    </row>
    <row r="517" spans="3:19" x14ac:dyDescent="0.2">
      <c r="C517" s="298">
        <v>15</v>
      </c>
      <c r="D517" s="299" t="s">
        <v>38</v>
      </c>
      <c r="E517" s="300"/>
      <c r="F517" s="301"/>
      <c r="G517" s="39" t="s">
        <v>15</v>
      </c>
      <c r="H517" s="33">
        <v>46105</v>
      </c>
      <c r="I517" s="309"/>
      <c r="J517" s="303"/>
      <c r="K517" s="304"/>
      <c r="L517" s="304"/>
      <c r="M517" s="305"/>
      <c r="N517" s="306"/>
      <c r="O517" s="306"/>
      <c r="P517" s="307"/>
      <c r="Q517" s="26"/>
      <c r="R517" s="26"/>
      <c r="S517" s="37"/>
    </row>
    <row r="518" spans="3:19" x14ac:dyDescent="0.2">
      <c r="C518" s="298">
        <v>15</v>
      </c>
      <c r="D518" s="299" t="s">
        <v>38</v>
      </c>
      <c r="E518" s="300"/>
      <c r="F518" s="301"/>
      <c r="G518" s="39" t="s">
        <v>16</v>
      </c>
      <c r="H518" s="33">
        <v>46106</v>
      </c>
      <c r="I518" s="309"/>
      <c r="J518" s="303"/>
      <c r="K518" s="304"/>
      <c r="L518" s="304"/>
      <c r="M518" s="305"/>
      <c r="N518" s="306"/>
      <c r="O518" s="306"/>
      <c r="P518" s="307"/>
      <c r="Q518" s="26"/>
      <c r="R518" s="26"/>
      <c r="S518" s="37"/>
    </row>
    <row r="519" spans="3:19" x14ac:dyDescent="0.2">
      <c r="C519" s="298">
        <v>15</v>
      </c>
      <c r="D519" s="299" t="s">
        <v>38</v>
      </c>
      <c r="E519" s="300"/>
      <c r="F519" s="301"/>
      <c r="G519" s="39" t="s">
        <v>17</v>
      </c>
      <c r="H519" s="33">
        <v>46107</v>
      </c>
      <c r="I519" s="308"/>
      <c r="J519" s="303"/>
      <c r="K519" s="304"/>
      <c r="L519" s="304"/>
      <c r="M519" s="305"/>
      <c r="N519" s="306"/>
      <c r="O519" s="306"/>
      <c r="P519" s="307"/>
      <c r="Q519" s="26"/>
      <c r="R519" s="26"/>
      <c r="S519" s="37"/>
    </row>
    <row r="520" spans="3:19" x14ac:dyDescent="0.2">
      <c r="C520" s="298">
        <v>15</v>
      </c>
      <c r="D520" s="299" t="s">
        <v>38</v>
      </c>
      <c r="E520" s="300"/>
      <c r="F520" s="301"/>
      <c r="G520" s="39" t="s">
        <v>18</v>
      </c>
      <c r="H520" s="33">
        <v>46108</v>
      </c>
      <c r="I520" s="309"/>
      <c r="J520" s="303"/>
      <c r="K520" s="304"/>
      <c r="L520" s="304"/>
      <c r="M520" s="305"/>
      <c r="N520" s="306"/>
      <c r="O520" s="306"/>
      <c r="P520" s="307"/>
      <c r="Q520" s="26"/>
      <c r="R520" s="26"/>
      <c r="S520" s="37"/>
    </row>
    <row r="521" spans="3:19" x14ac:dyDescent="0.2">
      <c r="C521" s="298">
        <v>15</v>
      </c>
      <c r="D521" s="299" t="s">
        <v>38</v>
      </c>
      <c r="E521" s="300"/>
      <c r="F521" s="301"/>
      <c r="G521" s="39" t="s">
        <v>19</v>
      </c>
      <c r="H521" s="33">
        <v>46109</v>
      </c>
      <c r="I521" s="309"/>
      <c r="J521" s="303"/>
      <c r="K521" s="304"/>
      <c r="L521" s="304"/>
      <c r="M521" s="305"/>
      <c r="N521" s="306"/>
      <c r="O521" s="306"/>
      <c r="P521" s="307"/>
      <c r="Q521" s="26"/>
      <c r="R521" s="26"/>
      <c r="S521" s="37"/>
    </row>
    <row r="522" spans="3:19" x14ac:dyDescent="0.2">
      <c r="C522" s="298">
        <v>15</v>
      </c>
      <c r="D522" s="299" t="s">
        <v>38</v>
      </c>
      <c r="E522" s="300"/>
      <c r="F522" s="301"/>
      <c r="G522" s="46" t="s">
        <v>13</v>
      </c>
      <c r="H522" s="33">
        <v>46110</v>
      </c>
      <c r="I522" s="309"/>
      <c r="J522" s="303"/>
      <c r="K522" s="304"/>
      <c r="L522" s="304"/>
      <c r="M522" s="305"/>
      <c r="N522" s="306"/>
      <c r="O522" s="306"/>
      <c r="P522" s="307"/>
      <c r="Q522" s="26"/>
      <c r="R522" s="26"/>
      <c r="S522" s="37"/>
    </row>
    <row r="523" spans="3:19" x14ac:dyDescent="0.2">
      <c r="C523" s="298">
        <v>15</v>
      </c>
      <c r="D523" s="299" t="s">
        <v>38</v>
      </c>
      <c r="E523" s="300"/>
      <c r="F523" s="301"/>
      <c r="G523" s="39" t="s">
        <v>14</v>
      </c>
      <c r="H523" s="33">
        <v>46111</v>
      </c>
      <c r="I523" s="309"/>
      <c r="J523" s="303"/>
      <c r="K523" s="304"/>
      <c r="L523" s="304"/>
      <c r="M523" s="305"/>
      <c r="N523" s="306"/>
      <c r="O523" s="306"/>
      <c r="P523" s="307"/>
      <c r="Q523" s="26"/>
      <c r="R523" s="26"/>
      <c r="S523" s="37"/>
    </row>
    <row r="524" spans="3:19" x14ac:dyDescent="0.2">
      <c r="C524" s="298">
        <v>15</v>
      </c>
      <c r="D524" s="299" t="s">
        <v>38</v>
      </c>
      <c r="E524" s="300"/>
      <c r="F524" s="301"/>
      <c r="G524" s="39" t="s">
        <v>15</v>
      </c>
      <c r="H524" s="33">
        <v>46112</v>
      </c>
      <c r="I524" s="309"/>
      <c r="J524" s="303"/>
      <c r="K524" s="304"/>
      <c r="L524" s="304"/>
      <c r="M524" s="305"/>
      <c r="N524" s="306"/>
      <c r="O524" s="306"/>
      <c r="P524" s="307"/>
      <c r="Q524" s="26"/>
      <c r="R524" s="26"/>
      <c r="S524" s="37"/>
    </row>
    <row r="525" spans="3:19" x14ac:dyDescent="0.2">
      <c r="C525" s="310"/>
      <c r="D525" s="311"/>
      <c r="E525" s="312"/>
      <c r="F525" s="312"/>
      <c r="G525" s="313"/>
      <c r="H525" s="314"/>
      <c r="I525" s="315" t="str">
        <f>D495</f>
        <v>WASMAN</v>
      </c>
      <c r="J525" s="316" t="s">
        <v>20</v>
      </c>
      <c r="K525" s="317"/>
      <c r="L525" s="317"/>
      <c r="M525" s="318">
        <f>SUM(M494:M524)</f>
        <v>6</v>
      </c>
      <c r="N525" s="318">
        <f t="shared" ref="N525:O525" si="10">SUM(N494:N524)</f>
        <v>0</v>
      </c>
      <c r="O525" s="318">
        <f t="shared" si="10"/>
        <v>2</v>
      </c>
      <c r="P525" s="307"/>
      <c r="Q525" s="26"/>
      <c r="R525" s="26"/>
      <c r="S525" s="37"/>
    </row>
    <row r="526" spans="3:19" x14ac:dyDescent="0.2">
      <c r="C526" s="326"/>
      <c r="D526" s="327"/>
      <c r="E526" s="328"/>
      <c r="F526" s="328"/>
      <c r="G526" s="329"/>
      <c r="H526" s="330"/>
      <c r="I526" s="331"/>
      <c r="J526" s="331"/>
      <c r="K526" s="330"/>
      <c r="L526" s="330"/>
      <c r="M526" s="330"/>
      <c r="N526" s="332"/>
      <c r="O526" s="332"/>
      <c r="P526" s="333"/>
      <c r="Q526" s="26"/>
      <c r="R526" s="26"/>
      <c r="S526" s="37"/>
    </row>
    <row r="527" spans="3:19" x14ac:dyDescent="0.2">
      <c r="C527" s="58"/>
      <c r="D527" s="59"/>
      <c r="E527" s="60"/>
      <c r="F527" s="60"/>
      <c r="G527" s="61"/>
      <c r="H527" s="62"/>
      <c r="I527" s="63"/>
      <c r="J527" s="63"/>
      <c r="K527" s="62"/>
      <c r="L527" s="62"/>
      <c r="M527" s="62"/>
      <c r="N527" s="64"/>
      <c r="O527" s="64"/>
      <c r="P527" s="65"/>
      <c r="Q527" s="26"/>
      <c r="R527" s="26"/>
      <c r="S527" s="37"/>
    </row>
    <row r="528" spans="3:19" x14ac:dyDescent="0.2">
      <c r="C528" s="66" t="s">
        <v>1</v>
      </c>
      <c r="D528" s="67" t="s">
        <v>2</v>
      </c>
      <c r="E528" s="68" t="s">
        <v>3</v>
      </c>
      <c r="F528" s="68" t="s">
        <v>4</v>
      </c>
      <c r="G528" s="69" t="s">
        <v>5</v>
      </c>
      <c r="H528" s="68" t="s">
        <v>6</v>
      </c>
      <c r="I528" s="70" t="s">
        <v>7</v>
      </c>
      <c r="J528" s="70" t="s">
        <v>8</v>
      </c>
      <c r="K528" s="71"/>
      <c r="L528" s="72"/>
      <c r="M528" s="72" t="s">
        <v>9</v>
      </c>
      <c r="N528" s="73" t="s">
        <v>10</v>
      </c>
      <c r="O528" s="73" t="s">
        <v>11</v>
      </c>
      <c r="P528" s="198"/>
      <c r="Q528" s="26"/>
      <c r="R528" s="26"/>
      <c r="S528" s="37"/>
    </row>
    <row r="529" spans="3:19" x14ac:dyDescent="0.2">
      <c r="C529" s="334">
        <v>16</v>
      </c>
      <c r="D529" s="335" t="s">
        <v>39</v>
      </c>
      <c r="E529" s="336"/>
      <c r="F529" s="337"/>
      <c r="G529" s="32" t="s">
        <v>13</v>
      </c>
      <c r="H529" s="33">
        <v>46082</v>
      </c>
      <c r="I529" s="338"/>
      <c r="J529" s="339"/>
      <c r="K529" s="340"/>
      <c r="L529" s="340"/>
      <c r="M529" s="341"/>
      <c r="N529" s="342"/>
      <c r="O529" s="342"/>
      <c r="P529" s="343"/>
      <c r="Q529" s="26"/>
      <c r="R529" s="26"/>
      <c r="S529" s="37"/>
    </row>
    <row r="530" spans="3:19" x14ac:dyDescent="0.2">
      <c r="C530" s="334">
        <v>16</v>
      </c>
      <c r="D530" s="335" t="s">
        <v>39</v>
      </c>
      <c r="E530" s="336"/>
      <c r="F530" s="337"/>
      <c r="G530" s="29" t="s">
        <v>14</v>
      </c>
      <c r="H530" s="33">
        <v>46083</v>
      </c>
      <c r="I530" s="344">
        <v>0.30995370370370373</v>
      </c>
      <c r="J530" s="339"/>
      <c r="K530" s="340"/>
      <c r="L530" s="340"/>
      <c r="M530" s="341"/>
      <c r="N530" s="342"/>
      <c r="O530" s="342"/>
      <c r="P530" s="343"/>
      <c r="Q530" s="26"/>
      <c r="R530" s="345"/>
      <c r="S530" s="37"/>
    </row>
    <row r="531" spans="3:19" x14ac:dyDescent="0.2">
      <c r="C531" s="334">
        <v>16</v>
      </c>
      <c r="D531" s="335" t="s">
        <v>39</v>
      </c>
      <c r="E531" s="336"/>
      <c r="F531" s="337"/>
      <c r="G531" s="39" t="s">
        <v>15</v>
      </c>
      <c r="H531" s="33">
        <v>46084</v>
      </c>
      <c r="I531" s="346">
        <v>0.32337962962962963</v>
      </c>
      <c r="J531" s="339">
        <v>0.84482638888888895</v>
      </c>
      <c r="K531" s="340"/>
      <c r="L531" s="340"/>
      <c r="M531" s="341">
        <v>3</v>
      </c>
      <c r="N531" s="342"/>
      <c r="O531" s="342"/>
      <c r="P531" s="343"/>
      <c r="Q531" s="26"/>
      <c r="R531" s="26"/>
      <c r="S531" s="37"/>
    </row>
    <row r="532" spans="3:19" x14ac:dyDescent="0.2">
      <c r="C532" s="334">
        <v>16</v>
      </c>
      <c r="D532" s="335" t="s">
        <v>39</v>
      </c>
      <c r="E532" s="336"/>
      <c r="F532" s="337"/>
      <c r="G532" s="39" t="s">
        <v>16</v>
      </c>
      <c r="H532" s="33">
        <v>46085</v>
      </c>
      <c r="I532" s="346">
        <v>0.3307060185185185</v>
      </c>
      <c r="J532" s="339">
        <v>0.71098379629629627</v>
      </c>
      <c r="K532" s="340"/>
      <c r="L532" s="340"/>
      <c r="M532" s="341"/>
      <c r="N532" s="342"/>
      <c r="O532" s="342"/>
      <c r="P532" s="343"/>
      <c r="Q532" s="26"/>
      <c r="R532" s="26"/>
      <c r="S532" s="37"/>
    </row>
    <row r="533" spans="3:19" x14ac:dyDescent="0.2">
      <c r="C533" s="334">
        <v>16</v>
      </c>
      <c r="D533" s="335" t="s">
        <v>39</v>
      </c>
      <c r="E533" s="336"/>
      <c r="F533" s="337"/>
      <c r="G533" s="39" t="s">
        <v>17</v>
      </c>
      <c r="H533" s="33">
        <v>46086</v>
      </c>
      <c r="I533" s="346">
        <v>0.32474537037037038</v>
      </c>
      <c r="J533" s="339">
        <v>0.85128472222222218</v>
      </c>
      <c r="K533" s="340"/>
      <c r="L533" s="340"/>
      <c r="M533" s="341">
        <v>3</v>
      </c>
      <c r="N533" s="342"/>
      <c r="O533" s="342"/>
      <c r="P533" s="343"/>
      <c r="Q533" s="26"/>
      <c r="R533" s="26"/>
      <c r="S533" s="37"/>
    </row>
    <row r="534" spans="3:19" x14ac:dyDescent="0.2">
      <c r="C534" s="334">
        <v>16</v>
      </c>
      <c r="D534" s="335" t="s">
        <v>39</v>
      </c>
      <c r="E534" s="336"/>
      <c r="F534" s="337"/>
      <c r="G534" s="45" t="s">
        <v>18</v>
      </c>
      <c r="H534" s="33">
        <v>46087</v>
      </c>
      <c r="I534" s="346">
        <v>0.32239583333333333</v>
      </c>
      <c r="J534" s="339">
        <v>0.80414351851851851</v>
      </c>
      <c r="K534" s="340"/>
      <c r="L534" s="340"/>
      <c r="M534" s="341">
        <v>2</v>
      </c>
      <c r="N534" s="342"/>
      <c r="O534" s="342"/>
      <c r="P534" s="343"/>
      <c r="Q534" s="26"/>
      <c r="R534" s="26"/>
      <c r="S534" s="37"/>
    </row>
    <row r="535" spans="3:19" x14ac:dyDescent="0.2">
      <c r="C535" s="334">
        <v>16</v>
      </c>
      <c r="D535" s="335" t="s">
        <v>39</v>
      </c>
      <c r="E535" s="336"/>
      <c r="F535" s="337"/>
      <c r="G535" s="39" t="s">
        <v>19</v>
      </c>
      <c r="H535" s="33">
        <v>46088</v>
      </c>
      <c r="I535" s="346">
        <v>0.326087962962963</v>
      </c>
      <c r="J535" s="339">
        <v>0.5596875</v>
      </c>
      <c r="K535" s="340"/>
      <c r="L535" s="340"/>
      <c r="M535" s="341"/>
      <c r="N535" s="342"/>
      <c r="O535" s="342"/>
      <c r="P535" s="343"/>
      <c r="Q535" s="26"/>
      <c r="R535" s="26"/>
      <c r="S535" s="37"/>
    </row>
    <row r="536" spans="3:19" x14ac:dyDescent="0.25">
      <c r="C536" s="334">
        <v>16</v>
      </c>
      <c r="D536" s="335" t="s">
        <v>39</v>
      </c>
      <c r="E536" s="336"/>
      <c r="F536" s="337"/>
      <c r="G536" s="46" t="s">
        <v>13</v>
      </c>
      <c r="H536" s="33">
        <v>46089</v>
      </c>
      <c r="I536" s="338"/>
      <c r="K536" s="340"/>
      <c r="L536" s="340"/>
      <c r="M536" s="341"/>
      <c r="N536" s="342"/>
      <c r="O536" s="342"/>
      <c r="P536" s="343"/>
      <c r="Q536" s="26"/>
      <c r="R536" s="26"/>
      <c r="S536" s="37"/>
    </row>
    <row r="537" spans="3:19" x14ac:dyDescent="0.25">
      <c r="C537" s="334">
        <v>16</v>
      </c>
      <c r="D537" s="335" t="s">
        <v>39</v>
      </c>
      <c r="E537" s="336"/>
      <c r="F537" s="337"/>
      <c r="G537" s="39" t="s">
        <v>14</v>
      </c>
      <c r="H537" s="33">
        <v>46090</v>
      </c>
      <c r="I537" s="5">
        <v>0.32484953703703706</v>
      </c>
      <c r="J537" s="346">
        <v>0.85571759259259261</v>
      </c>
      <c r="K537" s="340"/>
      <c r="L537" s="340"/>
      <c r="M537" s="341">
        <v>3</v>
      </c>
      <c r="N537" s="342"/>
      <c r="O537" s="342"/>
      <c r="P537" s="343"/>
      <c r="Q537" s="26"/>
      <c r="R537" s="26"/>
      <c r="S537" s="37"/>
    </row>
    <row r="538" spans="3:19" x14ac:dyDescent="0.2">
      <c r="C538" s="334">
        <v>16</v>
      </c>
      <c r="D538" s="335" t="s">
        <v>39</v>
      </c>
      <c r="E538" s="336"/>
      <c r="F538" s="337"/>
      <c r="G538" s="39" t="s">
        <v>15</v>
      </c>
      <c r="H538" s="33">
        <v>46091</v>
      </c>
      <c r="I538" s="344">
        <v>0.32600694444444445</v>
      </c>
      <c r="J538" s="339">
        <v>0.84839120370370369</v>
      </c>
      <c r="K538" s="340"/>
      <c r="L538" s="340"/>
      <c r="M538" s="341">
        <v>3</v>
      </c>
      <c r="N538" s="342"/>
      <c r="O538" s="342"/>
      <c r="P538" s="343"/>
      <c r="Q538" s="26"/>
      <c r="R538" s="26"/>
      <c r="S538" s="37"/>
    </row>
    <row r="539" spans="3:19" x14ac:dyDescent="0.2">
      <c r="C539" s="334">
        <v>16</v>
      </c>
      <c r="D539" s="335" t="s">
        <v>39</v>
      </c>
      <c r="E539" s="336"/>
      <c r="F539" s="337"/>
      <c r="G539" s="39" t="s">
        <v>16</v>
      </c>
      <c r="H539" s="33">
        <v>46092</v>
      </c>
      <c r="I539" s="346">
        <v>0.32420138888888889</v>
      </c>
      <c r="J539" s="339">
        <v>0.8459606481481482</v>
      </c>
      <c r="K539" s="340"/>
      <c r="L539" s="340"/>
      <c r="M539" s="341">
        <v>3</v>
      </c>
      <c r="N539" s="342"/>
      <c r="O539" s="342"/>
      <c r="P539" s="343"/>
      <c r="Q539" s="26"/>
      <c r="R539" s="26"/>
      <c r="S539" s="37"/>
    </row>
    <row r="540" spans="3:19" x14ac:dyDescent="0.2">
      <c r="C540" s="334">
        <v>16</v>
      </c>
      <c r="D540" s="335" t="s">
        <v>39</v>
      </c>
      <c r="E540" s="336"/>
      <c r="F540" s="337"/>
      <c r="G540" s="39" t="s">
        <v>17</v>
      </c>
      <c r="H540" s="33">
        <v>46093</v>
      </c>
      <c r="I540" s="346">
        <v>0.32453703703703701</v>
      </c>
      <c r="J540" s="339">
        <v>0.70938657407407402</v>
      </c>
      <c r="K540" s="340"/>
      <c r="L540" s="340"/>
      <c r="M540" s="341"/>
      <c r="N540" s="342"/>
      <c r="O540" s="342"/>
      <c r="P540" s="343"/>
      <c r="Q540" s="26"/>
      <c r="R540" s="26"/>
      <c r="S540" s="37"/>
    </row>
    <row r="541" spans="3:19" x14ac:dyDescent="0.2">
      <c r="C541" s="334">
        <v>16</v>
      </c>
      <c r="D541" s="335" t="s">
        <v>39</v>
      </c>
      <c r="E541" s="336"/>
      <c r="F541" s="337"/>
      <c r="G541" s="48" t="s">
        <v>18</v>
      </c>
      <c r="H541" s="33">
        <v>46094</v>
      </c>
      <c r="I541" s="344">
        <v>0.31825231481481481</v>
      </c>
      <c r="J541" s="339">
        <v>0.70920138888888884</v>
      </c>
      <c r="K541" s="340"/>
      <c r="L541" s="340"/>
      <c r="M541" s="341"/>
      <c r="N541" s="342"/>
      <c r="O541" s="342"/>
      <c r="P541" s="343"/>
      <c r="Q541" s="26"/>
      <c r="R541" s="26"/>
      <c r="S541" s="37"/>
    </row>
    <row r="542" spans="3:19" x14ac:dyDescent="0.2">
      <c r="C542" s="334">
        <v>16</v>
      </c>
      <c r="D542" s="335" t="s">
        <v>39</v>
      </c>
      <c r="E542" s="336"/>
      <c r="F542" s="337"/>
      <c r="G542" s="39" t="s">
        <v>19</v>
      </c>
      <c r="H542" s="33">
        <v>46095</v>
      </c>
      <c r="I542" s="346">
        <v>0.32930555555555557</v>
      </c>
      <c r="J542" s="339"/>
      <c r="K542" s="340"/>
      <c r="L542" s="340"/>
      <c r="M542" s="341"/>
      <c r="N542" s="342"/>
      <c r="O542" s="342"/>
      <c r="P542" s="343"/>
      <c r="Q542" s="26"/>
      <c r="R542" s="26"/>
      <c r="S542" s="37"/>
    </row>
    <row r="543" spans="3:19" x14ac:dyDescent="0.2">
      <c r="C543" s="334">
        <v>16</v>
      </c>
      <c r="D543" s="335" t="s">
        <v>39</v>
      </c>
      <c r="E543" s="336"/>
      <c r="F543" s="337"/>
      <c r="G543" s="46" t="s">
        <v>13</v>
      </c>
      <c r="H543" s="33">
        <v>46096</v>
      </c>
      <c r="I543" s="346"/>
      <c r="J543" s="339"/>
      <c r="K543" s="340"/>
      <c r="L543" s="340"/>
      <c r="M543" s="341"/>
      <c r="N543" s="342"/>
      <c r="O543" s="342"/>
      <c r="P543" s="44"/>
      <c r="Q543" s="26"/>
      <c r="R543" s="26"/>
      <c r="S543" s="37"/>
    </row>
    <row r="544" spans="3:19" x14ac:dyDescent="0.2">
      <c r="C544" s="334">
        <v>16</v>
      </c>
      <c r="D544" s="335" t="s">
        <v>39</v>
      </c>
      <c r="E544" s="336"/>
      <c r="F544" s="337"/>
      <c r="G544" s="39" t="s">
        <v>14</v>
      </c>
      <c r="H544" s="33">
        <v>46097</v>
      </c>
      <c r="I544" s="338"/>
      <c r="J544" s="339"/>
      <c r="K544" s="340"/>
      <c r="L544" s="340"/>
      <c r="M544" s="341"/>
      <c r="N544" s="342"/>
      <c r="O544" s="342"/>
      <c r="P544" s="343"/>
      <c r="Q544" s="26"/>
      <c r="R544" s="26"/>
      <c r="S544" s="37"/>
    </row>
    <row r="545" spans="3:19" x14ac:dyDescent="0.2">
      <c r="C545" s="334">
        <v>16</v>
      </c>
      <c r="D545" s="335" t="s">
        <v>39</v>
      </c>
      <c r="E545" s="336"/>
      <c r="F545" s="337"/>
      <c r="G545" s="39" t="s">
        <v>15</v>
      </c>
      <c r="H545" s="33">
        <v>46098</v>
      </c>
      <c r="I545" s="338"/>
      <c r="J545" s="339"/>
      <c r="K545" s="340"/>
      <c r="L545" s="340"/>
      <c r="M545" s="341"/>
      <c r="N545" s="342"/>
      <c r="O545" s="342"/>
      <c r="P545" s="343"/>
      <c r="Q545" s="26"/>
      <c r="R545" s="26"/>
      <c r="S545" s="37"/>
    </row>
    <row r="546" spans="3:19" x14ac:dyDescent="0.2">
      <c r="C546" s="334">
        <v>16</v>
      </c>
      <c r="D546" s="335" t="s">
        <v>39</v>
      </c>
      <c r="E546" s="336"/>
      <c r="F546" s="337"/>
      <c r="G546" s="39" t="s">
        <v>16</v>
      </c>
      <c r="H546" s="33">
        <v>46099</v>
      </c>
      <c r="I546" s="344"/>
      <c r="J546" s="339"/>
      <c r="K546" s="340"/>
      <c r="L546" s="340"/>
      <c r="M546" s="341"/>
      <c r="N546" s="342"/>
      <c r="O546" s="342"/>
      <c r="P546" s="343"/>
      <c r="Q546" s="26"/>
      <c r="R546" s="26"/>
      <c r="S546" s="37"/>
    </row>
    <row r="547" spans="3:19" x14ac:dyDescent="0.2">
      <c r="C547" s="334">
        <v>16</v>
      </c>
      <c r="D547" s="335" t="s">
        <v>39</v>
      </c>
      <c r="E547" s="336"/>
      <c r="F547" s="337"/>
      <c r="G547" s="39" t="s">
        <v>17</v>
      </c>
      <c r="H547" s="33">
        <v>46100</v>
      </c>
      <c r="I547" s="344"/>
      <c r="J547" s="339"/>
      <c r="K547" s="340"/>
      <c r="L547" s="340"/>
      <c r="M547" s="341"/>
      <c r="N547" s="342"/>
      <c r="O547" s="342"/>
      <c r="P547" s="343"/>
      <c r="Q547" s="26"/>
      <c r="R547" s="26"/>
      <c r="S547" s="37"/>
    </row>
    <row r="548" spans="3:19" x14ac:dyDescent="0.2">
      <c r="C548" s="334">
        <v>16</v>
      </c>
      <c r="D548" s="335" t="s">
        <v>39</v>
      </c>
      <c r="E548" s="336"/>
      <c r="F548" s="337"/>
      <c r="G548" s="39" t="s">
        <v>18</v>
      </c>
      <c r="H548" s="33">
        <v>46101</v>
      </c>
      <c r="I548" s="346"/>
      <c r="J548" s="339"/>
      <c r="K548" s="340"/>
      <c r="L548" s="340"/>
      <c r="M548" s="341"/>
      <c r="N548" s="342"/>
      <c r="O548" s="342"/>
      <c r="P548" s="343"/>
      <c r="Q548" s="26"/>
      <c r="R548" s="26"/>
      <c r="S548" s="37"/>
    </row>
    <row r="549" spans="3:19" x14ac:dyDescent="0.2">
      <c r="C549" s="334">
        <v>16</v>
      </c>
      <c r="D549" s="335" t="s">
        <v>39</v>
      </c>
      <c r="E549" s="336"/>
      <c r="F549" s="337"/>
      <c r="G549" s="39" t="s">
        <v>19</v>
      </c>
      <c r="H549" s="33">
        <v>46102</v>
      </c>
      <c r="I549" s="346"/>
      <c r="J549" s="339"/>
      <c r="K549" s="340"/>
      <c r="L549" s="340"/>
      <c r="M549" s="341"/>
      <c r="N549" s="342"/>
      <c r="O549" s="342"/>
      <c r="P549" s="343"/>
      <c r="Q549" s="26"/>
      <c r="R549" s="26"/>
      <c r="S549" s="37"/>
    </row>
    <row r="550" spans="3:19" x14ac:dyDescent="0.2">
      <c r="C550" s="334">
        <v>16</v>
      </c>
      <c r="D550" s="335" t="s">
        <v>39</v>
      </c>
      <c r="E550" s="336"/>
      <c r="F550" s="337"/>
      <c r="G550" s="46" t="s">
        <v>13</v>
      </c>
      <c r="H550" s="33">
        <v>46103</v>
      </c>
      <c r="I550" s="346"/>
      <c r="J550" s="339"/>
      <c r="K550" s="340"/>
      <c r="L550" s="340"/>
      <c r="M550" s="341"/>
      <c r="N550" s="342"/>
      <c r="O550" s="342"/>
      <c r="P550" s="343"/>
      <c r="Q550" s="26"/>
      <c r="R550" s="26"/>
      <c r="S550" s="37"/>
    </row>
    <row r="551" spans="3:19" x14ac:dyDescent="0.2">
      <c r="C551" s="334">
        <v>16</v>
      </c>
      <c r="D551" s="335" t="s">
        <v>39</v>
      </c>
      <c r="E551" s="336"/>
      <c r="F551" s="337"/>
      <c r="G551" s="39" t="s">
        <v>14</v>
      </c>
      <c r="H551" s="33">
        <v>46104</v>
      </c>
      <c r="I551" s="344"/>
      <c r="J551" s="339"/>
      <c r="K551" s="340"/>
      <c r="L551" s="340"/>
      <c r="M551" s="341"/>
      <c r="N551" s="342"/>
      <c r="O551" s="342"/>
      <c r="P551" s="343"/>
      <c r="Q551" s="26"/>
      <c r="R551" s="26"/>
      <c r="S551" s="37"/>
    </row>
    <row r="552" spans="3:19" x14ac:dyDescent="0.2">
      <c r="C552" s="334">
        <v>16</v>
      </c>
      <c r="D552" s="335" t="s">
        <v>39</v>
      </c>
      <c r="E552" s="336"/>
      <c r="F552" s="337"/>
      <c r="G552" s="39" t="s">
        <v>15</v>
      </c>
      <c r="H552" s="33">
        <v>46105</v>
      </c>
      <c r="I552" s="346"/>
      <c r="J552" s="339"/>
      <c r="K552" s="340"/>
      <c r="L552" s="340"/>
      <c r="M552" s="341"/>
      <c r="N552" s="342"/>
      <c r="O552" s="342"/>
      <c r="P552" s="343"/>
      <c r="Q552" s="26"/>
      <c r="R552" s="26"/>
      <c r="S552" s="37"/>
    </row>
    <row r="553" spans="3:19" x14ac:dyDescent="0.2">
      <c r="C553" s="334">
        <v>16</v>
      </c>
      <c r="D553" s="335" t="s">
        <v>39</v>
      </c>
      <c r="E553" s="336"/>
      <c r="F553" s="337"/>
      <c r="G553" s="39" t="s">
        <v>16</v>
      </c>
      <c r="H553" s="33">
        <v>46106</v>
      </c>
      <c r="I553" s="346"/>
      <c r="J553" s="339"/>
      <c r="K553" s="340"/>
      <c r="L553" s="340"/>
      <c r="M553" s="341"/>
      <c r="N553" s="342"/>
      <c r="O553" s="342"/>
      <c r="P553" s="343"/>
      <c r="Q553" s="26"/>
      <c r="R553" s="26"/>
      <c r="S553" s="37"/>
    </row>
    <row r="554" spans="3:19" x14ac:dyDescent="0.2">
      <c r="C554" s="334">
        <v>16</v>
      </c>
      <c r="D554" s="335" t="s">
        <v>39</v>
      </c>
      <c r="E554" s="336"/>
      <c r="F554" s="337"/>
      <c r="G554" s="39" t="s">
        <v>17</v>
      </c>
      <c r="H554" s="33">
        <v>46107</v>
      </c>
      <c r="I554" s="344"/>
      <c r="J554" s="339"/>
      <c r="K554" s="340"/>
      <c r="L554" s="340"/>
      <c r="M554" s="341"/>
      <c r="N554" s="342"/>
      <c r="O554" s="342"/>
      <c r="P554" s="343"/>
      <c r="Q554" s="26"/>
      <c r="R554" s="26"/>
      <c r="S554" s="37"/>
    </row>
    <row r="555" spans="3:19" x14ac:dyDescent="0.2">
      <c r="C555" s="334">
        <v>16</v>
      </c>
      <c r="D555" s="335" t="s">
        <v>39</v>
      </c>
      <c r="E555" s="336"/>
      <c r="F555" s="337"/>
      <c r="G555" s="39" t="s">
        <v>18</v>
      </c>
      <c r="H555" s="33">
        <v>46108</v>
      </c>
      <c r="I555" s="346"/>
      <c r="J555" s="339"/>
      <c r="K555" s="340"/>
      <c r="L555" s="340"/>
      <c r="M555" s="341"/>
      <c r="N555" s="342"/>
      <c r="O555" s="342"/>
      <c r="P555" s="343"/>
      <c r="Q555" s="26"/>
      <c r="R555" s="26"/>
      <c r="S555" s="37"/>
    </row>
    <row r="556" spans="3:19" x14ac:dyDescent="0.2">
      <c r="C556" s="334">
        <v>16</v>
      </c>
      <c r="D556" s="335" t="s">
        <v>39</v>
      </c>
      <c r="E556" s="336"/>
      <c r="F556" s="337"/>
      <c r="G556" s="39" t="s">
        <v>19</v>
      </c>
      <c r="H556" s="33">
        <v>46109</v>
      </c>
      <c r="I556" s="346"/>
      <c r="J556" s="339"/>
      <c r="K556" s="340"/>
      <c r="L556" s="340"/>
      <c r="M556" s="341"/>
      <c r="N556" s="342"/>
      <c r="O556" s="342"/>
      <c r="P556" s="343"/>
      <c r="Q556" s="26"/>
      <c r="R556" s="26"/>
      <c r="S556" s="37"/>
    </row>
    <row r="557" spans="3:19" x14ac:dyDescent="0.2">
      <c r="C557" s="334">
        <v>16</v>
      </c>
      <c r="D557" s="335" t="s">
        <v>39</v>
      </c>
      <c r="E557" s="336"/>
      <c r="F557" s="337"/>
      <c r="G557" s="46" t="s">
        <v>13</v>
      </c>
      <c r="H557" s="33">
        <v>46110</v>
      </c>
      <c r="I557" s="346"/>
      <c r="J557" s="339"/>
      <c r="K557" s="340"/>
      <c r="L557" s="340"/>
      <c r="M557" s="341"/>
      <c r="N557" s="342"/>
      <c r="O557" s="342"/>
      <c r="P557" s="343"/>
      <c r="Q557" s="26"/>
      <c r="R557" s="26"/>
      <c r="S557" s="37"/>
    </row>
    <row r="558" spans="3:19" x14ac:dyDescent="0.2">
      <c r="C558" s="334">
        <v>16</v>
      </c>
      <c r="D558" s="335" t="s">
        <v>39</v>
      </c>
      <c r="E558" s="336"/>
      <c r="F558" s="337"/>
      <c r="G558" s="39" t="s">
        <v>14</v>
      </c>
      <c r="H558" s="33">
        <v>46111</v>
      </c>
      <c r="I558" s="346"/>
      <c r="J558" s="339"/>
      <c r="K558" s="340"/>
      <c r="L558" s="340"/>
      <c r="M558" s="341"/>
      <c r="N558" s="342"/>
      <c r="O558" s="342"/>
      <c r="P558" s="343"/>
      <c r="Q558" s="26"/>
      <c r="R558" s="26"/>
      <c r="S558" s="37"/>
    </row>
    <row r="559" spans="3:19" x14ac:dyDescent="0.2">
      <c r="C559" s="334">
        <v>16</v>
      </c>
      <c r="D559" s="335" t="s">
        <v>39</v>
      </c>
      <c r="E559" s="336"/>
      <c r="F559" s="337"/>
      <c r="G559" s="39" t="s">
        <v>15</v>
      </c>
      <c r="H559" s="33">
        <v>46112</v>
      </c>
      <c r="I559" s="346"/>
      <c r="J559" s="339"/>
      <c r="K559" s="340"/>
      <c r="L559" s="340"/>
      <c r="M559" s="341"/>
      <c r="N559" s="342"/>
      <c r="O559" s="342"/>
      <c r="P559" s="343"/>
      <c r="Q559" s="26"/>
      <c r="R559" s="26"/>
      <c r="S559" s="37"/>
    </row>
    <row r="560" spans="3:19" x14ac:dyDescent="0.2">
      <c r="C560" s="347"/>
      <c r="D560" s="348"/>
      <c r="E560" s="349"/>
      <c r="F560" s="349"/>
      <c r="G560" s="350"/>
      <c r="H560" s="351"/>
      <c r="I560" s="352" t="str">
        <f>D532</f>
        <v>IBNU R</v>
      </c>
      <c r="J560" s="353" t="s">
        <v>20</v>
      </c>
      <c r="K560" s="354"/>
      <c r="L560" s="354"/>
      <c r="M560" s="355">
        <f>SUM(M529:M559)</f>
        <v>17</v>
      </c>
      <c r="N560" s="355">
        <f t="shared" ref="N560:O560" si="11">SUM(N529:N559)</f>
        <v>0</v>
      </c>
      <c r="O560" s="355">
        <f t="shared" si="11"/>
        <v>0</v>
      </c>
      <c r="P560" s="343"/>
      <c r="Q560" s="26"/>
      <c r="R560" s="26"/>
      <c r="S560" s="37"/>
    </row>
    <row r="561" spans="3:19" x14ac:dyDescent="0.2">
      <c r="C561" s="58"/>
      <c r="D561" s="59"/>
      <c r="E561" s="60"/>
      <c r="F561" s="60"/>
      <c r="G561" s="61"/>
      <c r="H561" s="62"/>
      <c r="I561" s="63"/>
      <c r="J561" s="63"/>
      <c r="K561" s="62"/>
      <c r="L561" s="62"/>
      <c r="M561" s="62"/>
      <c r="N561" s="64"/>
      <c r="O561" s="64"/>
      <c r="P561" s="65"/>
      <c r="Q561" s="26"/>
      <c r="R561" s="26"/>
      <c r="S561" s="37"/>
    </row>
    <row r="562" spans="3:19" x14ac:dyDescent="0.2">
      <c r="C562" s="66" t="s">
        <v>1</v>
      </c>
      <c r="D562" s="67" t="s">
        <v>2</v>
      </c>
      <c r="E562" s="68" t="s">
        <v>3</v>
      </c>
      <c r="F562" s="68" t="s">
        <v>4</v>
      </c>
      <c r="G562" s="69" t="s">
        <v>5</v>
      </c>
      <c r="H562" s="68" t="s">
        <v>6</v>
      </c>
      <c r="I562" s="70" t="s">
        <v>7</v>
      </c>
      <c r="J562" s="70" t="s">
        <v>8</v>
      </c>
      <c r="K562" s="71"/>
      <c r="L562" s="72"/>
      <c r="M562" s="72" t="s">
        <v>9</v>
      </c>
      <c r="N562" s="73" t="s">
        <v>10</v>
      </c>
      <c r="O562" s="73" t="s">
        <v>11</v>
      </c>
      <c r="P562" s="198"/>
      <c r="Q562" s="26"/>
      <c r="R562" s="26"/>
      <c r="S562" s="37"/>
    </row>
    <row r="563" spans="3:19" x14ac:dyDescent="0.2">
      <c r="C563" s="334">
        <v>17</v>
      </c>
      <c r="D563" s="335" t="s">
        <v>40</v>
      </c>
      <c r="E563" s="336"/>
      <c r="F563" s="337"/>
      <c r="G563" s="32" t="s">
        <v>13</v>
      </c>
      <c r="H563" s="33">
        <v>46082</v>
      </c>
      <c r="I563" s="338"/>
      <c r="J563" s="339"/>
      <c r="K563" s="340"/>
      <c r="L563" s="340"/>
      <c r="M563" s="341"/>
      <c r="N563" s="342"/>
      <c r="O563" s="342"/>
      <c r="P563" s="343"/>
      <c r="Q563" s="26"/>
      <c r="R563" s="26"/>
      <c r="S563" s="37"/>
    </row>
    <row r="564" spans="3:19" x14ac:dyDescent="0.2">
      <c r="C564" s="334">
        <v>17</v>
      </c>
      <c r="D564" s="335" t="s">
        <v>40</v>
      </c>
      <c r="E564" s="336"/>
      <c r="F564" s="337"/>
      <c r="G564" s="29" t="s">
        <v>14</v>
      </c>
      <c r="H564" s="33">
        <v>46083</v>
      </c>
      <c r="I564" s="344">
        <v>0.33348379629629626</v>
      </c>
      <c r="J564" s="339"/>
      <c r="K564" s="340"/>
      <c r="L564" s="340"/>
      <c r="M564" s="341"/>
      <c r="N564" s="342"/>
      <c r="O564" s="342"/>
      <c r="P564" s="343"/>
      <c r="Q564" s="26"/>
      <c r="R564" s="26"/>
      <c r="S564" s="37"/>
    </row>
    <row r="565" spans="3:19" x14ac:dyDescent="0.2">
      <c r="C565" s="334">
        <v>17</v>
      </c>
      <c r="D565" s="335" t="s">
        <v>40</v>
      </c>
      <c r="E565" s="336"/>
      <c r="F565" s="337"/>
      <c r="G565" s="39" t="s">
        <v>15</v>
      </c>
      <c r="H565" s="33">
        <v>46084</v>
      </c>
      <c r="I565" s="338">
        <v>0.36762731481481481</v>
      </c>
      <c r="J565" s="339">
        <v>0.71324074074074073</v>
      </c>
      <c r="K565" s="340"/>
      <c r="L565" s="340"/>
      <c r="M565" s="341"/>
      <c r="N565" s="342"/>
      <c r="O565" s="342"/>
      <c r="P565" s="343"/>
      <c r="Q565" s="26"/>
      <c r="R565" s="26"/>
      <c r="S565" s="37"/>
    </row>
    <row r="566" spans="3:19" x14ac:dyDescent="0.2">
      <c r="C566" s="334">
        <v>17</v>
      </c>
      <c r="D566" s="335" t="s">
        <v>40</v>
      </c>
      <c r="E566" s="336"/>
      <c r="F566" s="337"/>
      <c r="G566" s="39" t="s">
        <v>16</v>
      </c>
      <c r="H566" s="33">
        <v>46085</v>
      </c>
      <c r="I566" s="346">
        <v>0.33083333333333331</v>
      </c>
      <c r="J566" s="339">
        <v>0.71165509259259263</v>
      </c>
      <c r="K566" s="340"/>
      <c r="L566" s="340"/>
      <c r="M566" s="341"/>
      <c r="N566" s="342"/>
      <c r="O566" s="342"/>
      <c r="P566" s="343"/>
      <c r="Q566" s="26"/>
      <c r="R566" s="26"/>
      <c r="S566" s="37"/>
    </row>
    <row r="567" spans="3:19" x14ac:dyDescent="0.2">
      <c r="C567" s="334">
        <v>17</v>
      </c>
      <c r="D567" s="335" t="s">
        <v>40</v>
      </c>
      <c r="E567" s="336"/>
      <c r="F567" s="337"/>
      <c r="G567" s="39" t="s">
        <v>17</v>
      </c>
      <c r="H567" s="33">
        <v>46086</v>
      </c>
      <c r="I567" s="346">
        <v>0.33114583333333331</v>
      </c>
      <c r="J567" s="339">
        <v>0.70993055555555562</v>
      </c>
      <c r="K567" s="340"/>
      <c r="L567" s="340"/>
      <c r="M567" s="341"/>
      <c r="N567" s="342"/>
      <c r="O567" s="342"/>
      <c r="P567" s="343"/>
      <c r="Q567" s="26"/>
      <c r="R567" s="26"/>
      <c r="S567" s="37"/>
    </row>
    <row r="568" spans="3:19" x14ac:dyDescent="0.2">
      <c r="C568" s="334">
        <v>17</v>
      </c>
      <c r="D568" s="335" t="s">
        <v>40</v>
      </c>
      <c r="E568" s="336"/>
      <c r="F568" s="337"/>
      <c r="G568" s="45" t="s">
        <v>18</v>
      </c>
      <c r="H568" s="33">
        <v>46087</v>
      </c>
      <c r="I568" s="346">
        <v>0.33027777777777778</v>
      </c>
      <c r="J568" s="339">
        <v>0.70888888888888879</v>
      </c>
      <c r="K568" s="340"/>
      <c r="L568" s="340"/>
      <c r="M568" s="341"/>
      <c r="N568" s="342"/>
      <c r="O568" s="342"/>
      <c r="P568" s="343"/>
      <c r="Q568" s="26"/>
      <c r="R568" s="26"/>
      <c r="S568" s="37"/>
    </row>
    <row r="569" spans="3:19" x14ac:dyDescent="0.2">
      <c r="C569" s="334">
        <v>17</v>
      </c>
      <c r="D569" s="335" t="s">
        <v>40</v>
      </c>
      <c r="E569" s="336"/>
      <c r="F569" s="337"/>
      <c r="G569" s="39" t="s">
        <v>19</v>
      </c>
      <c r="H569" s="33">
        <v>46088</v>
      </c>
      <c r="I569" s="346">
        <v>0.32876157407407408</v>
      </c>
      <c r="J569" s="339">
        <v>0.54584490740740743</v>
      </c>
      <c r="K569" s="340"/>
      <c r="L569" s="340"/>
      <c r="M569" s="341"/>
      <c r="N569" s="342"/>
      <c r="O569" s="342"/>
      <c r="P569" s="343"/>
      <c r="Q569" s="26"/>
      <c r="R569" s="26"/>
      <c r="S569" s="37"/>
    </row>
    <row r="570" spans="3:19" x14ac:dyDescent="0.25">
      <c r="C570" s="334">
        <v>17</v>
      </c>
      <c r="D570" s="335" t="s">
        <v>40</v>
      </c>
      <c r="E570" s="336"/>
      <c r="F570" s="337"/>
      <c r="G570" s="46" t="s">
        <v>13</v>
      </c>
      <c r="H570" s="33">
        <v>46089</v>
      </c>
      <c r="I570" s="338"/>
      <c r="K570" s="340"/>
      <c r="L570" s="340"/>
      <c r="M570" s="341"/>
      <c r="N570" s="342"/>
      <c r="O570" s="342"/>
      <c r="P570" s="343"/>
      <c r="Q570" s="26"/>
      <c r="R570" s="26"/>
      <c r="S570" s="37"/>
    </row>
    <row r="571" spans="3:19" x14ac:dyDescent="0.25">
      <c r="C571" s="334">
        <v>17</v>
      </c>
      <c r="D571" s="335" t="s">
        <v>40</v>
      </c>
      <c r="E571" s="336"/>
      <c r="F571" s="337"/>
      <c r="G571" s="39" t="s">
        <v>14</v>
      </c>
      <c r="H571" s="33">
        <v>46090</v>
      </c>
      <c r="J571" s="346"/>
      <c r="K571" s="340"/>
      <c r="L571" s="340"/>
      <c r="M571" s="341"/>
      <c r="N571" s="342"/>
      <c r="O571" s="342"/>
      <c r="P571" s="343" t="s">
        <v>41</v>
      </c>
      <c r="Q571" s="26"/>
      <c r="R571" s="26"/>
      <c r="S571" s="37"/>
    </row>
    <row r="572" spans="3:19" x14ac:dyDescent="0.2">
      <c r="C572" s="334">
        <v>17</v>
      </c>
      <c r="D572" s="335" t="s">
        <v>40</v>
      </c>
      <c r="E572" s="336"/>
      <c r="F572" s="337"/>
      <c r="G572" s="39" t="s">
        <v>15</v>
      </c>
      <c r="H572" s="33">
        <v>46091</v>
      </c>
      <c r="I572" s="344">
        <v>0.32839120370370373</v>
      </c>
      <c r="J572" s="339">
        <v>0.70803240740740747</v>
      </c>
      <c r="K572" s="340"/>
      <c r="L572" s="340"/>
      <c r="M572" s="341"/>
      <c r="N572" s="342"/>
      <c r="O572" s="342"/>
      <c r="P572" s="343"/>
      <c r="Q572" s="26"/>
      <c r="R572" s="26"/>
      <c r="S572" s="37"/>
    </row>
    <row r="573" spans="3:19" x14ac:dyDescent="0.2">
      <c r="C573" s="334">
        <v>17</v>
      </c>
      <c r="D573" s="335" t="s">
        <v>40</v>
      </c>
      <c r="E573" s="336"/>
      <c r="F573" s="337"/>
      <c r="G573" s="39" t="s">
        <v>16</v>
      </c>
      <c r="H573" s="33">
        <v>46092</v>
      </c>
      <c r="I573" s="346">
        <v>0.3298726851851852</v>
      </c>
      <c r="J573" s="339">
        <v>0.70840277777777771</v>
      </c>
      <c r="K573" s="340"/>
      <c r="L573" s="340"/>
      <c r="M573" s="341"/>
      <c r="N573" s="342"/>
      <c r="O573" s="342"/>
      <c r="P573" s="343"/>
      <c r="Q573" s="26"/>
      <c r="R573" s="26"/>
      <c r="S573" s="37"/>
    </row>
    <row r="574" spans="3:19" x14ac:dyDescent="0.2">
      <c r="C574" s="334">
        <v>17</v>
      </c>
      <c r="D574" s="335" t="s">
        <v>40</v>
      </c>
      <c r="E574" s="336"/>
      <c r="F574" s="337"/>
      <c r="G574" s="39" t="s">
        <v>17</v>
      </c>
      <c r="H574" s="33">
        <v>46093</v>
      </c>
      <c r="I574" s="346">
        <v>0.33118055555555553</v>
      </c>
      <c r="J574" s="339">
        <v>0.71637731481481481</v>
      </c>
      <c r="K574" s="340"/>
      <c r="L574" s="340"/>
      <c r="M574" s="341"/>
      <c r="N574" s="342"/>
      <c r="O574" s="342"/>
      <c r="P574" s="343"/>
      <c r="Q574" s="26"/>
      <c r="R574" s="26"/>
      <c r="S574" s="37"/>
    </row>
    <row r="575" spans="3:19" x14ac:dyDescent="0.2">
      <c r="C575" s="334">
        <v>17</v>
      </c>
      <c r="D575" s="335" t="s">
        <v>40</v>
      </c>
      <c r="E575" s="336"/>
      <c r="F575" s="337"/>
      <c r="G575" s="48" t="s">
        <v>18</v>
      </c>
      <c r="H575" s="33">
        <v>46094</v>
      </c>
      <c r="I575" s="344">
        <v>0.3303935185185185</v>
      </c>
      <c r="J575" s="339">
        <v>0.7109375</v>
      </c>
      <c r="K575" s="340"/>
      <c r="L575" s="340"/>
      <c r="M575" s="341"/>
      <c r="N575" s="342"/>
      <c r="O575" s="342"/>
      <c r="P575" s="343"/>
      <c r="Q575" s="26"/>
      <c r="R575" s="26"/>
      <c r="S575" s="37"/>
    </row>
    <row r="576" spans="3:19" x14ac:dyDescent="0.2">
      <c r="C576" s="334">
        <v>17</v>
      </c>
      <c r="D576" s="335" t="s">
        <v>40</v>
      </c>
      <c r="E576" s="336"/>
      <c r="F576" s="337"/>
      <c r="G576" s="39" t="s">
        <v>19</v>
      </c>
      <c r="H576" s="33">
        <v>46095</v>
      </c>
      <c r="I576" s="346">
        <v>0.33047453703703705</v>
      </c>
      <c r="J576" s="339"/>
      <c r="K576" s="340"/>
      <c r="L576" s="340"/>
      <c r="M576" s="341"/>
      <c r="N576" s="342"/>
      <c r="O576" s="342"/>
      <c r="P576" s="343"/>
      <c r="Q576" s="26"/>
      <c r="R576" s="26"/>
      <c r="S576" s="37"/>
    </row>
    <row r="577" spans="3:19" x14ac:dyDescent="0.2">
      <c r="C577" s="334">
        <v>17</v>
      </c>
      <c r="D577" s="335" t="s">
        <v>40</v>
      </c>
      <c r="E577" s="336"/>
      <c r="F577" s="337"/>
      <c r="G577" s="46" t="s">
        <v>13</v>
      </c>
      <c r="H577" s="33">
        <v>46096</v>
      </c>
      <c r="I577" s="346"/>
      <c r="J577" s="339"/>
      <c r="K577" s="340"/>
      <c r="L577" s="340"/>
      <c r="M577" s="341"/>
      <c r="N577" s="342"/>
      <c r="O577" s="342"/>
      <c r="P577" s="44"/>
      <c r="Q577" s="26"/>
      <c r="R577" s="26"/>
      <c r="S577" s="37"/>
    </row>
    <row r="578" spans="3:19" x14ac:dyDescent="0.2">
      <c r="C578" s="334">
        <v>17</v>
      </c>
      <c r="D578" s="335" t="s">
        <v>40</v>
      </c>
      <c r="E578" s="336"/>
      <c r="F578" s="337"/>
      <c r="G578" s="39" t="s">
        <v>14</v>
      </c>
      <c r="H578" s="33">
        <v>46097</v>
      </c>
      <c r="I578" s="338"/>
      <c r="J578" s="339"/>
      <c r="K578" s="340"/>
      <c r="L578" s="340"/>
      <c r="M578" s="341"/>
      <c r="N578" s="342"/>
      <c r="O578" s="342"/>
      <c r="P578" s="343"/>
      <c r="Q578" s="26"/>
      <c r="R578" s="26"/>
      <c r="S578" s="37"/>
    </row>
    <row r="579" spans="3:19" x14ac:dyDescent="0.2">
      <c r="C579" s="334">
        <v>17</v>
      </c>
      <c r="D579" s="335" t="s">
        <v>40</v>
      </c>
      <c r="E579" s="336"/>
      <c r="F579" s="337"/>
      <c r="G579" s="39" t="s">
        <v>15</v>
      </c>
      <c r="H579" s="33">
        <v>46098</v>
      </c>
      <c r="I579" s="338"/>
      <c r="J579" s="339"/>
      <c r="K579" s="340"/>
      <c r="L579" s="340"/>
      <c r="M579" s="341"/>
      <c r="N579" s="342"/>
      <c r="O579" s="342"/>
      <c r="P579" s="343"/>
      <c r="Q579" s="26"/>
      <c r="R579" s="26"/>
      <c r="S579" s="37"/>
    </row>
    <row r="580" spans="3:19" x14ac:dyDescent="0.2">
      <c r="C580" s="334">
        <v>17</v>
      </c>
      <c r="D580" s="335" t="s">
        <v>40</v>
      </c>
      <c r="E580" s="336"/>
      <c r="F580" s="337"/>
      <c r="G580" s="39" t="s">
        <v>16</v>
      </c>
      <c r="H580" s="33">
        <v>46099</v>
      </c>
      <c r="I580" s="344"/>
      <c r="J580" s="339"/>
      <c r="K580" s="340"/>
      <c r="L580" s="340"/>
      <c r="M580" s="341"/>
      <c r="N580" s="342"/>
      <c r="O580" s="342"/>
      <c r="P580" s="343"/>
      <c r="Q580" s="26"/>
      <c r="R580" s="26"/>
      <c r="S580" s="37"/>
    </row>
    <row r="581" spans="3:19" x14ac:dyDescent="0.2">
      <c r="C581" s="334">
        <v>17</v>
      </c>
      <c r="D581" s="335" t="s">
        <v>40</v>
      </c>
      <c r="E581" s="336"/>
      <c r="F581" s="337"/>
      <c r="G581" s="39" t="s">
        <v>17</v>
      </c>
      <c r="H581" s="33">
        <v>46100</v>
      </c>
      <c r="I581" s="344"/>
      <c r="J581" s="339"/>
      <c r="K581" s="340"/>
      <c r="L581" s="340"/>
      <c r="M581" s="341"/>
      <c r="N581" s="342"/>
      <c r="O581" s="342"/>
      <c r="P581" s="343"/>
      <c r="Q581" s="26"/>
      <c r="R581" s="26"/>
      <c r="S581" s="37"/>
    </row>
    <row r="582" spans="3:19" x14ac:dyDescent="0.2">
      <c r="C582" s="334">
        <v>17</v>
      </c>
      <c r="D582" s="335" t="s">
        <v>40</v>
      </c>
      <c r="E582" s="336"/>
      <c r="F582" s="337"/>
      <c r="G582" s="39" t="s">
        <v>18</v>
      </c>
      <c r="H582" s="33">
        <v>46101</v>
      </c>
      <c r="I582" s="346"/>
      <c r="J582" s="339"/>
      <c r="K582" s="340"/>
      <c r="L582" s="340"/>
      <c r="M582" s="341"/>
      <c r="N582" s="342"/>
      <c r="O582" s="342"/>
      <c r="P582" s="343"/>
      <c r="Q582" s="26"/>
      <c r="R582" s="26"/>
      <c r="S582" s="37"/>
    </row>
    <row r="583" spans="3:19" x14ac:dyDescent="0.2">
      <c r="C583" s="334">
        <v>17</v>
      </c>
      <c r="D583" s="335" t="s">
        <v>40</v>
      </c>
      <c r="E583" s="336"/>
      <c r="F583" s="337"/>
      <c r="G583" s="39" t="s">
        <v>19</v>
      </c>
      <c r="H583" s="33">
        <v>46102</v>
      </c>
      <c r="I583" s="346"/>
      <c r="J583" s="339"/>
      <c r="K583" s="340"/>
      <c r="L583" s="340"/>
      <c r="M583" s="341"/>
      <c r="N583" s="342"/>
      <c r="O583" s="342"/>
      <c r="P583" s="343"/>
      <c r="Q583" s="26"/>
      <c r="R583" s="26"/>
      <c r="S583" s="37"/>
    </row>
    <row r="584" spans="3:19" x14ac:dyDescent="0.2">
      <c r="C584" s="334">
        <v>17</v>
      </c>
      <c r="D584" s="335" t="s">
        <v>40</v>
      </c>
      <c r="E584" s="336"/>
      <c r="F584" s="337"/>
      <c r="G584" s="46" t="s">
        <v>13</v>
      </c>
      <c r="H584" s="33">
        <v>46103</v>
      </c>
      <c r="I584" s="346"/>
      <c r="J584" s="339"/>
      <c r="K584" s="340"/>
      <c r="L584" s="340"/>
      <c r="M584" s="341"/>
      <c r="N584" s="342"/>
      <c r="O584" s="342"/>
      <c r="P584" s="343"/>
      <c r="Q584" s="26"/>
      <c r="R584" s="26"/>
      <c r="S584" s="37"/>
    </row>
    <row r="585" spans="3:19" x14ac:dyDescent="0.2">
      <c r="C585" s="334">
        <v>17</v>
      </c>
      <c r="D585" s="335" t="s">
        <v>40</v>
      </c>
      <c r="E585" s="336"/>
      <c r="F585" s="337"/>
      <c r="G585" s="39" t="s">
        <v>14</v>
      </c>
      <c r="H585" s="33">
        <v>46104</v>
      </c>
      <c r="I585" s="344"/>
      <c r="J585" s="339"/>
      <c r="K585" s="340"/>
      <c r="L585" s="340"/>
      <c r="M585" s="341"/>
      <c r="N585" s="342"/>
      <c r="O585" s="342"/>
      <c r="P585" s="343"/>
      <c r="Q585" s="26"/>
      <c r="R585" s="26"/>
      <c r="S585" s="37"/>
    </row>
    <row r="586" spans="3:19" x14ac:dyDescent="0.2">
      <c r="C586" s="334">
        <v>17</v>
      </c>
      <c r="D586" s="335" t="s">
        <v>40</v>
      </c>
      <c r="E586" s="336"/>
      <c r="F586" s="337"/>
      <c r="G586" s="39" t="s">
        <v>15</v>
      </c>
      <c r="H586" s="33">
        <v>46105</v>
      </c>
      <c r="I586" s="346"/>
      <c r="J586" s="339"/>
      <c r="K586" s="340"/>
      <c r="L586" s="340"/>
      <c r="M586" s="341"/>
      <c r="N586" s="342"/>
      <c r="O586" s="342"/>
      <c r="P586" s="343"/>
      <c r="Q586" s="26"/>
      <c r="R586" s="26"/>
      <c r="S586" s="37"/>
    </row>
    <row r="587" spans="3:19" x14ac:dyDescent="0.2">
      <c r="C587" s="334">
        <v>17</v>
      </c>
      <c r="D587" s="335" t="s">
        <v>40</v>
      </c>
      <c r="E587" s="336"/>
      <c r="F587" s="337"/>
      <c r="G587" s="39" t="s">
        <v>16</v>
      </c>
      <c r="H587" s="33">
        <v>46106</v>
      </c>
      <c r="I587" s="346"/>
      <c r="J587" s="339"/>
      <c r="K587" s="340"/>
      <c r="L587" s="340"/>
      <c r="M587" s="341"/>
      <c r="N587" s="342"/>
      <c r="O587" s="342"/>
      <c r="P587" s="343"/>
      <c r="Q587" s="26"/>
      <c r="R587" s="26"/>
      <c r="S587" s="37"/>
    </row>
    <row r="588" spans="3:19" x14ac:dyDescent="0.2">
      <c r="C588" s="334">
        <v>17</v>
      </c>
      <c r="D588" s="335" t="s">
        <v>40</v>
      </c>
      <c r="E588" s="336"/>
      <c r="F588" s="337"/>
      <c r="G588" s="39" t="s">
        <v>17</v>
      </c>
      <c r="H588" s="33">
        <v>46107</v>
      </c>
      <c r="I588" s="344"/>
      <c r="J588" s="339"/>
      <c r="K588" s="340"/>
      <c r="L588" s="340"/>
      <c r="M588" s="341"/>
      <c r="N588" s="342"/>
      <c r="O588" s="342"/>
      <c r="P588" s="343"/>
      <c r="Q588" s="26"/>
      <c r="R588" s="26"/>
      <c r="S588" s="37"/>
    </row>
    <row r="589" spans="3:19" x14ac:dyDescent="0.2">
      <c r="C589" s="334">
        <v>17</v>
      </c>
      <c r="D589" s="335" t="s">
        <v>40</v>
      </c>
      <c r="E589" s="336"/>
      <c r="F589" s="337"/>
      <c r="G589" s="39" t="s">
        <v>18</v>
      </c>
      <c r="H589" s="33">
        <v>46108</v>
      </c>
      <c r="I589" s="346"/>
      <c r="J589" s="339"/>
      <c r="K589" s="340"/>
      <c r="L589" s="340"/>
      <c r="M589" s="341"/>
      <c r="N589" s="342"/>
      <c r="O589" s="342"/>
      <c r="P589" s="343"/>
      <c r="Q589" s="26"/>
      <c r="R589" s="26"/>
      <c r="S589" s="37"/>
    </row>
    <row r="590" spans="3:19" x14ac:dyDescent="0.2">
      <c r="C590" s="334">
        <v>17</v>
      </c>
      <c r="D590" s="335" t="s">
        <v>40</v>
      </c>
      <c r="E590" s="336"/>
      <c r="F590" s="337"/>
      <c r="G590" s="39" t="s">
        <v>19</v>
      </c>
      <c r="H590" s="33">
        <v>46109</v>
      </c>
      <c r="I590" s="346"/>
      <c r="J590" s="339"/>
      <c r="K590" s="340"/>
      <c r="L590" s="340"/>
      <c r="M590" s="341"/>
      <c r="N590" s="342"/>
      <c r="O590" s="342"/>
      <c r="P590" s="343"/>
      <c r="Q590" s="26"/>
      <c r="R590" s="26"/>
      <c r="S590" s="37"/>
    </row>
    <row r="591" spans="3:19" x14ac:dyDescent="0.2">
      <c r="C591" s="334">
        <v>17</v>
      </c>
      <c r="D591" s="335" t="s">
        <v>40</v>
      </c>
      <c r="E591" s="336"/>
      <c r="F591" s="337"/>
      <c r="G591" s="46" t="s">
        <v>13</v>
      </c>
      <c r="H591" s="33">
        <v>46110</v>
      </c>
      <c r="I591" s="346"/>
      <c r="J591" s="339"/>
      <c r="K591" s="340"/>
      <c r="L591" s="340"/>
      <c r="M591" s="341"/>
      <c r="N591" s="342"/>
      <c r="O591" s="342"/>
      <c r="P591" s="343"/>
      <c r="Q591" s="26"/>
      <c r="R591" s="26"/>
      <c r="S591" s="37"/>
    </row>
    <row r="592" spans="3:19" x14ac:dyDescent="0.2">
      <c r="C592" s="334">
        <v>17</v>
      </c>
      <c r="D592" s="335" t="s">
        <v>40</v>
      </c>
      <c r="E592" s="336"/>
      <c r="F592" s="337"/>
      <c r="G592" s="39" t="s">
        <v>14</v>
      </c>
      <c r="H592" s="33">
        <v>46111</v>
      </c>
      <c r="I592" s="346"/>
      <c r="J592" s="339"/>
      <c r="K592" s="340"/>
      <c r="L592" s="340"/>
      <c r="M592" s="341"/>
      <c r="N592" s="342"/>
      <c r="O592" s="342"/>
      <c r="P592" s="343"/>
      <c r="Q592" s="26"/>
      <c r="R592" s="26"/>
      <c r="S592" s="37"/>
    </row>
    <row r="593" spans="3:19" x14ac:dyDescent="0.2">
      <c r="C593" s="334">
        <v>17</v>
      </c>
      <c r="D593" s="335" t="s">
        <v>40</v>
      </c>
      <c r="E593" s="336"/>
      <c r="F593" s="337"/>
      <c r="G593" s="39" t="s">
        <v>15</v>
      </c>
      <c r="H593" s="33">
        <v>46112</v>
      </c>
      <c r="I593" s="346"/>
      <c r="J593" s="339"/>
      <c r="K593" s="340"/>
      <c r="L593" s="340"/>
      <c r="M593" s="341"/>
      <c r="N593" s="342"/>
      <c r="O593" s="342"/>
      <c r="P593" s="343"/>
      <c r="Q593" s="26"/>
      <c r="R593" s="26"/>
      <c r="S593" s="37"/>
    </row>
    <row r="594" spans="3:19" x14ac:dyDescent="0.2">
      <c r="C594" s="347"/>
      <c r="D594" s="348"/>
      <c r="E594" s="349"/>
      <c r="F594" s="349"/>
      <c r="G594" s="350"/>
      <c r="H594" s="351"/>
      <c r="I594" s="352" t="str">
        <f>D563</f>
        <v>ADI BAGUS</v>
      </c>
      <c r="J594" s="353" t="s">
        <v>20</v>
      </c>
      <c r="K594" s="354"/>
      <c r="L594" s="354"/>
      <c r="M594" s="355">
        <f>SUM(M563:M593)</f>
        <v>0</v>
      </c>
      <c r="N594" s="355">
        <f t="shared" ref="N594:O594" si="12">SUM(N563:N593)</f>
        <v>0</v>
      </c>
      <c r="O594" s="355">
        <f t="shared" si="12"/>
        <v>0</v>
      </c>
      <c r="P594" s="343"/>
      <c r="Q594" s="26"/>
      <c r="R594" s="26"/>
      <c r="S594" s="37"/>
    </row>
    <row r="595" spans="3:19" x14ac:dyDescent="0.2"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 s="26"/>
      <c r="R595" s="26"/>
      <c r="S595" s="37"/>
    </row>
    <row r="596" spans="3:19" x14ac:dyDescent="0.2"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 s="26"/>
      <c r="R596" s="26"/>
      <c r="S596" s="37"/>
    </row>
    <row r="597" spans="3:19" x14ac:dyDescent="0.2">
      <c r="C597" s="66" t="s">
        <v>1</v>
      </c>
      <c r="D597" s="67" t="s">
        <v>2</v>
      </c>
      <c r="E597" s="68" t="s">
        <v>3</v>
      </c>
      <c r="F597" s="68" t="s">
        <v>4</v>
      </c>
      <c r="G597" s="69" t="s">
        <v>5</v>
      </c>
      <c r="H597" s="68" t="s">
        <v>6</v>
      </c>
      <c r="I597" s="70" t="s">
        <v>7</v>
      </c>
      <c r="J597" s="70" t="s">
        <v>8</v>
      </c>
      <c r="K597" s="71"/>
      <c r="L597" s="72"/>
      <c r="M597" s="72" t="s">
        <v>9</v>
      </c>
      <c r="N597" s="73" t="s">
        <v>10</v>
      </c>
      <c r="O597" s="73" t="s">
        <v>11</v>
      </c>
      <c r="P597" s="343"/>
      <c r="Q597" s="26"/>
      <c r="R597" s="26"/>
      <c r="S597" s="37"/>
    </row>
    <row r="598" spans="3:19" x14ac:dyDescent="0.2">
      <c r="C598" s="334">
        <v>18</v>
      </c>
      <c r="D598" s="335" t="s">
        <v>42</v>
      </c>
      <c r="E598" s="336"/>
      <c r="F598" s="337"/>
      <c r="G598" s="32" t="s">
        <v>13</v>
      </c>
      <c r="H598" s="33">
        <v>46082</v>
      </c>
      <c r="I598" s="338"/>
      <c r="J598" s="339"/>
      <c r="K598" s="340"/>
      <c r="L598" s="340"/>
      <c r="M598" s="341"/>
      <c r="N598" s="342"/>
      <c r="O598" s="342"/>
      <c r="P598" s="343"/>
      <c r="Q598" s="26"/>
      <c r="R598" s="26"/>
      <c r="S598" s="37"/>
    </row>
    <row r="599" spans="3:19" x14ac:dyDescent="0.2">
      <c r="C599" s="334">
        <v>18</v>
      </c>
      <c r="D599" s="335" t="s">
        <v>42</v>
      </c>
      <c r="E599" s="336"/>
      <c r="F599" s="337"/>
      <c r="G599" s="29" t="s">
        <v>14</v>
      </c>
      <c r="H599" s="33">
        <v>46083</v>
      </c>
      <c r="I599" s="338"/>
      <c r="J599" s="339"/>
      <c r="K599" s="340"/>
      <c r="L599" s="340"/>
      <c r="M599" s="341"/>
      <c r="N599" s="342"/>
      <c r="O599" s="342"/>
      <c r="P599" s="343"/>
      <c r="Q599" s="26"/>
      <c r="R599" s="26"/>
      <c r="S599" s="37"/>
    </row>
    <row r="600" spans="3:19" x14ac:dyDescent="0.2">
      <c r="C600" s="334">
        <v>18</v>
      </c>
      <c r="D600" s="335" t="s">
        <v>42</v>
      </c>
      <c r="E600" s="336"/>
      <c r="F600" s="337"/>
      <c r="G600" s="39" t="s">
        <v>15</v>
      </c>
      <c r="H600" s="33">
        <v>46084</v>
      </c>
      <c r="I600" s="346"/>
      <c r="J600" s="339"/>
      <c r="K600" s="340"/>
      <c r="L600" s="340"/>
      <c r="M600" s="341"/>
      <c r="N600" s="342"/>
      <c r="O600" s="342"/>
      <c r="P600" s="343"/>
      <c r="Q600" s="26"/>
      <c r="R600" s="26"/>
      <c r="S600" s="37"/>
    </row>
    <row r="601" spans="3:19" x14ac:dyDescent="0.2">
      <c r="C601" s="334">
        <v>18</v>
      </c>
      <c r="D601" s="335" t="s">
        <v>42</v>
      </c>
      <c r="E601" s="336"/>
      <c r="F601" s="337"/>
      <c r="G601" s="39" t="s">
        <v>16</v>
      </c>
      <c r="H601" s="33">
        <v>46085</v>
      </c>
      <c r="I601" s="346"/>
      <c r="J601" s="339"/>
      <c r="K601" s="340"/>
      <c r="L601" s="340"/>
      <c r="M601" s="341"/>
      <c r="N601" s="342"/>
      <c r="O601" s="342"/>
      <c r="P601" s="343"/>
      <c r="Q601" s="26"/>
      <c r="R601" s="26"/>
      <c r="S601" s="37"/>
    </row>
    <row r="602" spans="3:19" x14ac:dyDescent="0.2">
      <c r="C602" s="334">
        <v>18</v>
      </c>
      <c r="D602" s="335" t="s">
        <v>42</v>
      </c>
      <c r="E602" s="336"/>
      <c r="F602" s="337"/>
      <c r="G602" s="39" t="s">
        <v>17</v>
      </c>
      <c r="H602" s="33">
        <v>46086</v>
      </c>
      <c r="I602" s="346"/>
      <c r="J602" s="339"/>
      <c r="K602" s="340"/>
      <c r="L602" s="340"/>
      <c r="M602" s="341"/>
      <c r="N602" s="342"/>
      <c r="O602" s="342"/>
      <c r="P602" s="343"/>
      <c r="Q602" s="26"/>
      <c r="R602" s="26"/>
      <c r="S602" s="37"/>
    </row>
    <row r="603" spans="3:19" x14ac:dyDescent="0.2">
      <c r="C603" s="334">
        <v>18</v>
      </c>
      <c r="D603" s="335" t="s">
        <v>42</v>
      </c>
      <c r="E603" s="336"/>
      <c r="F603" s="337"/>
      <c r="G603" s="45" t="s">
        <v>18</v>
      </c>
      <c r="H603" s="33">
        <v>46087</v>
      </c>
      <c r="I603" s="346"/>
      <c r="J603" s="339"/>
      <c r="K603" s="340"/>
      <c r="L603" s="340"/>
      <c r="M603" s="341"/>
      <c r="N603" s="342"/>
      <c r="O603" s="342"/>
      <c r="P603" s="343"/>
      <c r="Q603" s="26"/>
      <c r="R603" s="26"/>
      <c r="S603" s="37"/>
    </row>
    <row r="604" spans="3:19" x14ac:dyDescent="0.2">
      <c r="C604" s="334">
        <v>18</v>
      </c>
      <c r="D604" s="335" t="s">
        <v>42</v>
      </c>
      <c r="E604" s="336"/>
      <c r="F604" s="337"/>
      <c r="G604" s="39" t="s">
        <v>19</v>
      </c>
      <c r="H604" s="33">
        <v>46088</v>
      </c>
      <c r="I604" s="346"/>
      <c r="J604" s="339"/>
      <c r="K604" s="340"/>
      <c r="L604" s="340"/>
      <c r="M604" s="341"/>
      <c r="N604" s="342"/>
      <c r="O604" s="342"/>
      <c r="P604" s="343"/>
      <c r="Q604" s="26"/>
      <c r="R604" s="26"/>
      <c r="S604" s="37"/>
    </row>
    <row r="605" spans="3:19" x14ac:dyDescent="0.25">
      <c r="C605" s="334">
        <v>18</v>
      </c>
      <c r="D605" s="335" t="s">
        <v>42</v>
      </c>
      <c r="E605" s="336"/>
      <c r="F605" s="337"/>
      <c r="G605" s="46" t="s">
        <v>13</v>
      </c>
      <c r="H605" s="33">
        <v>46089</v>
      </c>
      <c r="I605" s="338"/>
      <c r="K605" s="340"/>
      <c r="L605" s="340"/>
      <c r="M605" s="341"/>
      <c r="N605" s="342"/>
      <c r="O605" s="342"/>
      <c r="P605" s="343"/>
      <c r="Q605" s="26"/>
      <c r="R605" s="26"/>
      <c r="S605" s="37"/>
    </row>
    <row r="606" spans="3:19" x14ac:dyDescent="0.25">
      <c r="C606" s="334">
        <v>18</v>
      </c>
      <c r="D606" s="335" t="s">
        <v>42</v>
      </c>
      <c r="E606" s="336"/>
      <c r="F606" s="337"/>
      <c r="G606" s="39" t="s">
        <v>14</v>
      </c>
      <c r="H606" s="33">
        <v>46090</v>
      </c>
      <c r="J606" s="346"/>
      <c r="K606" s="340"/>
      <c r="L606" s="340"/>
      <c r="M606" s="341"/>
      <c r="N606" s="342"/>
      <c r="O606" s="342"/>
      <c r="P606" s="343"/>
      <c r="Q606" s="26"/>
      <c r="R606" s="26"/>
      <c r="S606" s="37"/>
    </row>
    <row r="607" spans="3:19" x14ac:dyDescent="0.2">
      <c r="C607" s="334">
        <v>18</v>
      </c>
      <c r="D607" s="335" t="s">
        <v>42</v>
      </c>
      <c r="E607" s="336"/>
      <c r="F607" s="337"/>
      <c r="G607" s="39" t="s">
        <v>15</v>
      </c>
      <c r="H607" s="33">
        <v>46091</v>
      </c>
      <c r="I607" s="338"/>
      <c r="J607" s="339"/>
      <c r="K607" s="340"/>
      <c r="L607" s="340"/>
      <c r="M607" s="341"/>
      <c r="N607" s="342"/>
      <c r="O607" s="342"/>
      <c r="P607" s="343"/>
      <c r="Q607" s="26"/>
      <c r="R607" s="26"/>
      <c r="S607" s="37"/>
    </row>
    <row r="608" spans="3:19" x14ac:dyDescent="0.2">
      <c r="C608" s="334">
        <v>18</v>
      </c>
      <c r="D608" s="335" t="s">
        <v>42</v>
      </c>
      <c r="E608" s="336"/>
      <c r="F608" s="337"/>
      <c r="G608" s="39" t="s">
        <v>16</v>
      </c>
      <c r="H608" s="33">
        <v>46092</v>
      </c>
      <c r="I608" s="346"/>
      <c r="J608" s="339"/>
      <c r="K608" s="340"/>
      <c r="L608" s="340"/>
      <c r="M608" s="341"/>
      <c r="N608" s="342"/>
      <c r="O608" s="342"/>
      <c r="P608" s="343"/>
      <c r="Q608" s="26"/>
      <c r="R608" s="26"/>
      <c r="S608" s="37"/>
    </row>
    <row r="609" spans="3:19" x14ac:dyDescent="0.2">
      <c r="C609" s="334">
        <v>18</v>
      </c>
      <c r="D609" s="335" t="s">
        <v>42</v>
      </c>
      <c r="E609" s="336"/>
      <c r="F609" s="337"/>
      <c r="G609" s="39" t="s">
        <v>17</v>
      </c>
      <c r="H609" s="33">
        <v>46093</v>
      </c>
      <c r="I609" s="346"/>
      <c r="J609" s="339"/>
      <c r="K609" s="340"/>
      <c r="L609" s="340"/>
      <c r="M609" s="341"/>
      <c r="N609" s="342"/>
      <c r="O609" s="342"/>
      <c r="P609" s="343"/>
      <c r="Q609" s="26"/>
      <c r="R609" s="26"/>
      <c r="S609" s="37"/>
    </row>
    <row r="610" spans="3:19" x14ac:dyDescent="0.2">
      <c r="C610" s="334">
        <v>18</v>
      </c>
      <c r="D610" s="335" t="s">
        <v>42</v>
      </c>
      <c r="E610" s="336"/>
      <c r="F610" s="337"/>
      <c r="G610" s="48" t="s">
        <v>18</v>
      </c>
      <c r="H610" s="33">
        <v>46094</v>
      </c>
      <c r="I610" s="338"/>
      <c r="J610" s="339"/>
      <c r="K610" s="340"/>
      <c r="L610" s="340"/>
      <c r="M610" s="341"/>
      <c r="N610" s="342"/>
      <c r="O610" s="342"/>
      <c r="P610" s="343"/>
      <c r="Q610" s="26"/>
      <c r="R610" s="26"/>
      <c r="S610" s="37"/>
    </row>
    <row r="611" spans="3:19" x14ac:dyDescent="0.2">
      <c r="C611" s="334">
        <v>18</v>
      </c>
      <c r="D611" s="335" t="s">
        <v>42</v>
      </c>
      <c r="E611" s="336"/>
      <c r="F611" s="337"/>
      <c r="G611" s="39" t="s">
        <v>19</v>
      </c>
      <c r="H611" s="33">
        <v>46095</v>
      </c>
      <c r="I611" s="346"/>
      <c r="J611" s="339"/>
      <c r="K611" s="340"/>
      <c r="L611" s="340"/>
      <c r="M611" s="341"/>
      <c r="N611" s="342"/>
      <c r="O611" s="342"/>
      <c r="P611" s="343"/>
      <c r="Q611" s="26"/>
      <c r="R611" s="26"/>
      <c r="S611" s="37"/>
    </row>
    <row r="612" spans="3:19" x14ac:dyDescent="0.2">
      <c r="C612" s="334">
        <v>18</v>
      </c>
      <c r="D612" s="335" t="s">
        <v>42</v>
      </c>
      <c r="E612" s="336"/>
      <c r="F612" s="337"/>
      <c r="G612" s="46" t="s">
        <v>13</v>
      </c>
      <c r="H612" s="33">
        <v>46096</v>
      </c>
      <c r="I612" s="346"/>
      <c r="J612" s="339"/>
      <c r="K612" s="340"/>
      <c r="L612" s="340"/>
      <c r="M612" s="341"/>
      <c r="N612" s="342"/>
      <c r="O612" s="342"/>
      <c r="P612" s="44"/>
      <c r="Q612" s="26"/>
      <c r="R612" s="26"/>
      <c r="S612" s="37"/>
    </row>
    <row r="613" spans="3:19" x14ac:dyDescent="0.2">
      <c r="C613" s="334">
        <v>18</v>
      </c>
      <c r="D613" s="335" t="s">
        <v>42</v>
      </c>
      <c r="E613" s="336"/>
      <c r="F613" s="337"/>
      <c r="G613" s="39" t="s">
        <v>14</v>
      </c>
      <c r="H613" s="33">
        <v>46097</v>
      </c>
      <c r="I613" s="338"/>
      <c r="J613" s="339"/>
      <c r="K613" s="340"/>
      <c r="L613" s="340"/>
      <c r="M613" s="341"/>
      <c r="N613" s="342"/>
      <c r="O613" s="342"/>
      <c r="P613" s="343"/>
      <c r="Q613" s="26"/>
      <c r="R613" s="26"/>
      <c r="S613" s="37"/>
    </row>
    <row r="614" spans="3:19" x14ac:dyDescent="0.2">
      <c r="C614" s="334">
        <v>18</v>
      </c>
      <c r="D614" s="335" t="s">
        <v>42</v>
      </c>
      <c r="E614" s="336"/>
      <c r="F614" s="337"/>
      <c r="G614" s="39" t="s">
        <v>15</v>
      </c>
      <c r="H614" s="33">
        <v>46098</v>
      </c>
      <c r="I614" s="338"/>
      <c r="J614" s="339"/>
      <c r="K614" s="340"/>
      <c r="L614" s="340"/>
      <c r="M614" s="341"/>
      <c r="N614" s="342"/>
      <c r="O614" s="342"/>
      <c r="P614" s="343"/>
      <c r="Q614" s="26"/>
      <c r="R614" s="26"/>
      <c r="S614" s="37"/>
    </row>
    <row r="615" spans="3:19" x14ac:dyDescent="0.2">
      <c r="C615" s="334">
        <v>18</v>
      </c>
      <c r="D615" s="335" t="s">
        <v>42</v>
      </c>
      <c r="E615" s="336"/>
      <c r="F615" s="337"/>
      <c r="G615" s="39" t="s">
        <v>16</v>
      </c>
      <c r="H615" s="33">
        <v>46099</v>
      </c>
      <c r="I615" s="344"/>
      <c r="J615" s="339"/>
      <c r="K615" s="340"/>
      <c r="L615" s="340"/>
      <c r="M615" s="341"/>
      <c r="N615" s="342"/>
      <c r="O615" s="342"/>
      <c r="P615" s="343"/>
      <c r="Q615" s="26"/>
      <c r="R615" s="26"/>
      <c r="S615" s="37"/>
    </row>
    <row r="616" spans="3:19" x14ac:dyDescent="0.2">
      <c r="C616" s="334">
        <v>18</v>
      </c>
      <c r="D616" s="335" t="s">
        <v>42</v>
      </c>
      <c r="E616" s="336"/>
      <c r="F616" s="337"/>
      <c r="G616" s="39" t="s">
        <v>17</v>
      </c>
      <c r="H616" s="33">
        <v>46100</v>
      </c>
      <c r="I616" s="344"/>
      <c r="J616" s="339"/>
      <c r="K616" s="340"/>
      <c r="L616" s="340"/>
      <c r="M616" s="341"/>
      <c r="N616" s="342"/>
      <c r="O616" s="342"/>
      <c r="P616" s="343"/>
      <c r="Q616" s="26"/>
      <c r="R616" s="26"/>
      <c r="S616" s="37"/>
    </row>
    <row r="617" spans="3:19" x14ac:dyDescent="0.2">
      <c r="C617" s="334">
        <v>18</v>
      </c>
      <c r="D617" s="335" t="s">
        <v>42</v>
      </c>
      <c r="E617" s="336"/>
      <c r="F617" s="337"/>
      <c r="G617" s="39" t="s">
        <v>18</v>
      </c>
      <c r="H617" s="33">
        <v>46101</v>
      </c>
      <c r="I617" s="346"/>
      <c r="J617" s="339"/>
      <c r="K617" s="340"/>
      <c r="L617" s="340"/>
      <c r="M617" s="341"/>
      <c r="N617" s="342"/>
      <c r="O617" s="342"/>
      <c r="P617" s="343"/>
      <c r="Q617" s="26"/>
      <c r="R617" s="26"/>
      <c r="S617" s="37"/>
    </row>
    <row r="618" spans="3:19" x14ac:dyDescent="0.2">
      <c r="C618" s="334">
        <v>18</v>
      </c>
      <c r="D618" s="335" t="s">
        <v>42</v>
      </c>
      <c r="E618" s="336"/>
      <c r="F618" s="337"/>
      <c r="G618" s="39" t="s">
        <v>19</v>
      </c>
      <c r="H618" s="33">
        <v>46102</v>
      </c>
      <c r="I618" s="346"/>
      <c r="J618" s="339"/>
      <c r="K618" s="340"/>
      <c r="L618" s="340"/>
      <c r="M618" s="341"/>
      <c r="N618" s="342"/>
      <c r="O618" s="342"/>
      <c r="P618" s="343"/>
      <c r="Q618" s="26"/>
      <c r="R618" s="26"/>
      <c r="S618" s="37"/>
    </row>
    <row r="619" spans="3:19" x14ac:dyDescent="0.2">
      <c r="C619" s="334">
        <v>18</v>
      </c>
      <c r="D619" s="335" t="s">
        <v>42</v>
      </c>
      <c r="E619" s="336"/>
      <c r="F619" s="337"/>
      <c r="G619" s="46" t="s">
        <v>13</v>
      </c>
      <c r="H619" s="33">
        <v>46103</v>
      </c>
      <c r="I619" s="346"/>
      <c r="J619" s="339"/>
      <c r="K619" s="340"/>
      <c r="L619" s="340"/>
      <c r="M619" s="341"/>
      <c r="N619" s="342"/>
      <c r="O619" s="342"/>
      <c r="P619" s="343"/>
      <c r="Q619" s="26"/>
      <c r="R619" s="26"/>
      <c r="S619" s="37"/>
    </row>
    <row r="620" spans="3:19" x14ac:dyDescent="0.2">
      <c r="C620" s="334">
        <v>18</v>
      </c>
      <c r="D620" s="335" t="s">
        <v>42</v>
      </c>
      <c r="E620" s="336"/>
      <c r="F620" s="337"/>
      <c r="G620" s="39" t="s">
        <v>14</v>
      </c>
      <c r="H620" s="33">
        <v>46104</v>
      </c>
      <c r="I620" s="344"/>
      <c r="J620" s="339"/>
      <c r="K620" s="340"/>
      <c r="L620" s="340"/>
      <c r="M620" s="341"/>
      <c r="N620" s="342"/>
      <c r="O620" s="342"/>
      <c r="P620" s="343"/>
      <c r="Q620" s="26"/>
      <c r="R620" s="26"/>
      <c r="S620" s="37"/>
    </row>
    <row r="621" spans="3:19" x14ac:dyDescent="0.2">
      <c r="C621" s="334">
        <v>18</v>
      </c>
      <c r="D621" s="335" t="s">
        <v>42</v>
      </c>
      <c r="E621" s="336"/>
      <c r="F621" s="337"/>
      <c r="G621" s="39" t="s">
        <v>15</v>
      </c>
      <c r="H621" s="33">
        <v>46105</v>
      </c>
      <c r="I621" s="346"/>
      <c r="J621" s="339"/>
      <c r="K621" s="340"/>
      <c r="L621" s="340"/>
      <c r="M621" s="341"/>
      <c r="N621" s="342"/>
      <c r="O621" s="342"/>
      <c r="P621" s="343"/>
      <c r="Q621" s="26"/>
      <c r="R621" s="26"/>
      <c r="S621" s="37"/>
    </row>
    <row r="622" spans="3:19" x14ac:dyDescent="0.2">
      <c r="C622" s="334">
        <v>18</v>
      </c>
      <c r="D622" s="335" t="s">
        <v>42</v>
      </c>
      <c r="E622" s="336"/>
      <c r="F622" s="337"/>
      <c r="G622" s="39" t="s">
        <v>16</v>
      </c>
      <c r="H622" s="33">
        <v>46106</v>
      </c>
      <c r="I622" s="346"/>
      <c r="J622" s="339"/>
      <c r="K622" s="340"/>
      <c r="L622" s="340"/>
      <c r="M622" s="341"/>
      <c r="N622" s="342"/>
      <c r="O622" s="342"/>
      <c r="P622" s="343"/>
      <c r="Q622" s="26"/>
      <c r="R622" s="26"/>
      <c r="S622" s="37"/>
    </row>
    <row r="623" spans="3:19" x14ac:dyDescent="0.2">
      <c r="C623" s="334">
        <v>18</v>
      </c>
      <c r="D623" s="335" t="s">
        <v>42</v>
      </c>
      <c r="E623" s="336"/>
      <c r="F623" s="337"/>
      <c r="G623" s="39" t="s">
        <v>17</v>
      </c>
      <c r="H623" s="33">
        <v>46107</v>
      </c>
      <c r="I623" s="344"/>
      <c r="J623" s="339"/>
      <c r="K623" s="340"/>
      <c r="L623" s="340"/>
      <c r="M623" s="341"/>
      <c r="N623" s="342"/>
      <c r="O623" s="342"/>
      <c r="P623" s="343"/>
      <c r="Q623" s="26"/>
      <c r="R623" s="26"/>
      <c r="S623" s="37"/>
    </row>
    <row r="624" spans="3:19" x14ac:dyDescent="0.2">
      <c r="C624" s="334">
        <v>18</v>
      </c>
      <c r="D624" s="335" t="s">
        <v>42</v>
      </c>
      <c r="E624" s="336"/>
      <c r="F624" s="337"/>
      <c r="G624" s="39" t="s">
        <v>18</v>
      </c>
      <c r="H624" s="33">
        <v>46108</v>
      </c>
      <c r="I624" s="346"/>
      <c r="J624" s="339"/>
      <c r="K624" s="340"/>
      <c r="L624" s="340"/>
      <c r="M624" s="341"/>
      <c r="N624" s="342"/>
      <c r="O624" s="342"/>
      <c r="P624" s="343"/>
      <c r="Q624" s="26"/>
      <c r="R624" s="26"/>
      <c r="S624" s="37"/>
    </row>
    <row r="625" spans="3:19" x14ac:dyDescent="0.2">
      <c r="C625" s="334">
        <v>18</v>
      </c>
      <c r="D625" s="335" t="s">
        <v>42</v>
      </c>
      <c r="E625" s="336"/>
      <c r="F625" s="337"/>
      <c r="G625" s="39" t="s">
        <v>19</v>
      </c>
      <c r="H625" s="33">
        <v>46109</v>
      </c>
      <c r="I625" s="346"/>
      <c r="J625" s="339"/>
      <c r="K625" s="340"/>
      <c r="L625" s="340"/>
      <c r="M625" s="341"/>
      <c r="N625" s="342"/>
      <c r="O625" s="342"/>
      <c r="P625" s="343"/>
      <c r="Q625" s="26"/>
      <c r="R625" s="26"/>
      <c r="S625" s="37"/>
    </row>
    <row r="626" spans="3:19" x14ac:dyDescent="0.2">
      <c r="C626" s="334">
        <v>18</v>
      </c>
      <c r="D626" s="335" t="s">
        <v>42</v>
      </c>
      <c r="E626" s="336"/>
      <c r="F626" s="337"/>
      <c r="G626" s="46" t="s">
        <v>13</v>
      </c>
      <c r="H626" s="33">
        <v>46110</v>
      </c>
      <c r="I626" s="346"/>
      <c r="J626" s="339"/>
      <c r="K626" s="340"/>
      <c r="L626" s="340"/>
      <c r="M626" s="341"/>
      <c r="N626" s="342"/>
      <c r="O626" s="342"/>
      <c r="P626" s="343"/>
      <c r="Q626" s="26"/>
      <c r="R626" s="26"/>
      <c r="S626" s="37"/>
    </row>
    <row r="627" spans="3:19" x14ac:dyDescent="0.2">
      <c r="C627" s="334">
        <v>18</v>
      </c>
      <c r="D627" s="335" t="s">
        <v>42</v>
      </c>
      <c r="E627" s="336"/>
      <c r="F627" s="337"/>
      <c r="G627" s="39" t="s">
        <v>14</v>
      </c>
      <c r="H627" s="33">
        <v>46111</v>
      </c>
      <c r="I627" s="346"/>
      <c r="J627" s="339"/>
      <c r="K627" s="340"/>
      <c r="L627" s="340"/>
      <c r="M627" s="341"/>
      <c r="N627" s="342"/>
      <c r="O627" s="342"/>
      <c r="P627" s="343"/>
      <c r="Q627" s="26"/>
      <c r="R627" s="26"/>
      <c r="S627" s="37"/>
    </row>
    <row r="628" spans="3:19" x14ac:dyDescent="0.2">
      <c r="C628" s="334">
        <v>18</v>
      </c>
      <c r="D628" s="335" t="s">
        <v>42</v>
      </c>
      <c r="E628" s="336"/>
      <c r="F628" s="337"/>
      <c r="G628" s="39" t="s">
        <v>15</v>
      </c>
      <c r="H628" s="33">
        <v>46112</v>
      </c>
      <c r="I628" s="346"/>
      <c r="J628" s="339"/>
      <c r="K628" s="340"/>
      <c r="L628" s="340"/>
      <c r="M628" s="341"/>
      <c r="N628" s="342"/>
      <c r="O628" s="342"/>
      <c r="P628" s="343"/>
      <c r="Q628" s="26"/>
      <c r="R628" s="26"/>
      <c r="S628" s="37"/>
    </row>
    <row r="629" spans="3:19" x14ac:dyDescent="0.2">
      <c r="C629" s="347"/>
      <c r="D629" s="348"/>
      <c r="E629" s="349"/>
      <c r="F629" s="349"/>
      <c r="G629" s="350"/>
      <c r="H629" s="351"/>
      <c r="I629" s="352" t="str">
        <f>D601</f>
        <v>ALI MAKHFUZD</v>
      </c>
      <c r="J629" s="353" t="s">
        <v>20</v>
      </c>
      <c r="K629" s="354"/>
      <c r="L629" s="354"/>
      <c r="M629" s="355">
        <f>SUM(M601:M628)</f>
        <v>0</v>
      </c>
      <c r="N629" s="356">
        <f>SUM(N601:N628)</f>
        <v>0</v>
      </c>
      <c r="O629" s="356">
        <f>SUM(O601:O628)</f>
        <v>0</v>
      </c>
      <c r="P629" s="343"/>
      <c r="Q629" s="26"/>
      <c r="R629" s="26"/>
      <c r="S629" s="37"/>
    </row>
    <row r="630" spans="3:19" x14ac:dyDescent="0.2">
      <c r="C630" s="357"/>
      <c r="D630" s="358"/>
      <c r="E630" s="359"/>
      <c r="F630" s="359"/>
      <c r="G630" s="360"/>
      <c r="H630" s="361"/>
      <c r="I630" s="362"/>
      <c r="J630" s="362"/>
      <c r="K630" s="361"/>
      <c r="L630" s="361"/>
      <c r="M630" s="361"/>
      <c r="N630" s="363"/>
      <c r="O630" s="363"/>
      <c r="P630" s="364"/>
      <c r="Q630" s="26"/>
      <c r="R630" s="26"/>
      <c r="S630" s="37"/>
    </row>
    <row r="631" spans="3:19" x14ac:dyDescent="0.2">
      <c r="C631" s="58"/>
      <c r="D631" s="59"/>
      <c r="E631" s="60"/>
      <c r="F631" s="60"/>
      <c r="G631" s="61"/>
      <c r="H631" s="62"/>
      <c r="I631" s="63"/>
      <c r="J631" s="63"/>
      <c r="K631" s="62"/>
      <c r="L631" s="62"/>
      <c r="M631" s="62"/>
      <c r="N631" s="64"/>
      <c r="O631" s="64"/>
      <c r="P631" s="65"/>
      <c r="Q631" s="26"/>
      <c r="R631" s="26"/>
      <c r="S631" s="37"/>
    </row>
    <row r="632" spans="3:19" x14ac:dyDescent="0.2">
      <c r="C632" s="365" t="s">
        <v>1</v>
      </c>
      <c r="D632" s="67" t="s">
        <v>2</v>
      </c>
      <c r="E632" s="68" t="s">
        <v>3</v>
      </c>
      <c r="F632" s="68" t="s">
        <v>4</v>
      </c>
      <c r="G632" s="69" t="s">
        <v>5</v>
      </c>
      <c r="H632" s="68" t="s">
        <v>6</v>
      </c>
      <c r="I632" s="70" t="s">
        <v>7</v>
      </c>
      <c r="J632" s="70" t="s">
        <v>8</v>
      </c>
      <c r="K632" s="71"/>
      <c r="L632" s="72"/>
      <c r="M632" s="72" t="s">
        <v>9</v>
      </c>
      <c r="N632" s="73" t="s">
        <v>10</v>
      </c>
      <c r="O632" s="73" t="s">
        <v>11</v>
      </c>
      <c r="P632" s="198"/>
      <c r="Q632" s="26"/>
      <c r="R632" s="26"/>
      <c r="S632" s="37"/>
    </row>
    <row r="633" spans="3:19" x14ac:dyDescent="0.2">
      <c r="C633" s="366">
        <v>19</v>
      </c>
      <c r="D633" s="367" t="s">
        <v>43</v>
      </c>
      <c r="E633" s="368"/>
      <c r="F633" s="369"/>
      <c r="G633" s="32" t="s">
        <v>13</v>
      </c>
      <c r="H633" s="33">
        <v>46082</v>
      </c>
      <c r="I633" s="370"/>
      <c r="J633" s="371"/>
      <c r="K633" s="372"/>
      <c r="L633" s="372"/>
      <c r="M633" s="373"/>
      <c r="N633" s="374"/>
      <c r="O633" s="374"/>
      <c r="P633" s="375"/>
      <c r="Q633" s="26"/>
      <c r="R633" s="26"/>
      <c r="S633" s="37"/>
    </row>
    <row r="634" spans="3:19" x14ac:dyDescent="0.2">
      <c r="C634" s="366">
        <v>19</v>
      </c>
      <c r="D634" s="367" t="s">
        <v>43</v>
      </c>
      <c r="E634" s="368"/>
      <c r="F634" s="369"/>
      <c r="G634" s="29" t="s">
        <v>14</v>
      </c>
      <c r="H634" s="33">
        <v>46083</v>
      </c>
      <c r="I634" s="376">
        <v>0.32956018518518521</v>
      </c>
      <c r="J634" s="371"/>
      <c r="K634" s="372"/>
      <c r="L634" s="372"/>
      <c r="M634" s="373"/>
      <c r="N634" s="374"/>
      <c r="O634" s="374"/>
      <c r="P634" s="375"/>
      <c r="Q634" s="26"/>
      <c r="R634" s="26"/>
      <c r="S634" s="37"/>
    </row>
    <row r="635" spans="3:19" x14ac:dyDescent="0.2">
      <c r="C635" s="366">
        <v>19</v>
      </c>
      <c r="D635" s="367" t="s">
        <v>43</v>
      </c>
      <c r="E635" s="368"/>
      <c r="F635" s="369"/>
      <c r="G635" s="39" t="s">
        <v>15</v>
      </c>
      <c r="H635" s="33">
        <v>46084</v>
      </c>
      <c r="I635" s="377">
        <v>0.33008101851851851</v>
      </c>
      <c r="J635" s="371">
        <v>0.80377314814814815</v>
      </c>
      <c r="K635" s="372"/>
      <c r="L635" s="372"/>
      <c r="M635" s="373"/>
      <c r="N635" s="374"/>
      <c r="O635" s="374"/>
      <c r="P635" s="375"/>
      <c r="Q635" s="26"/>
      <c r="R635" s="26"/>
      <c r="S635" s="37"/>
    </row>
    <row r="636" spans="3:19" x14ac:dyDescent="0.2">
      <c r="C636" s="366">
        <v>19</v>
      </c>
      <c r="D636" s="367" t="s">
        <v>43</v>
      </c>
      <c r="E636" s="368"/>
      <c r="F636" s="369"/>
      <c r="G636" s="39" t="s">
        <v>16</v>
      </c>
      <c r="H636" s="33">
        <v>46085</v>
      </c>
      <c r="I636" s="377">
        <v>0.33094907407407409</v>
      </c>
      <c r="J636" s="371">
        <v>0.70836805555555549</v>
      </c>
      <c r="K636" s="372"/>
      <c r="L636" s="372"/>
      <c r="M636" s="373"/>
      <c r="N636" s="374"/>
      <c r="O636" s="374"/>
      <c r="P636" s="375"/>
      <c r="Q636" s="26"/>
      <c r="R636" s="26"/>
      <c r="S636" s="37"/>
    </row>
    <row r="637" spans="3:19" x14ac:dyDescent="0.2">
      <c r="C637" s="366">
        <v>19</v>
      </c>
      <c r="D637" s="367" t="s">
        <v>43</v>
      </c>
      <c r="E637" s="368"/>
      <c r="F637" s="369"/>
      <c r="G637" s="39" t="s">
        <v>17</v>
      </c>
      <c r="H637" s="33">
        <v>46086</v>
      </c>
      <c r="I637" s="377">
        <v>0.32950231481481479</v>
      </c>
      <c r="J637" s="371">
        <v>0.80215277777777771</v>
      </c>
      <c r="K637" s="372"/>
      <c r="L637" s="372"/>
      <c r="M637" s="373">
        <v>2</v>
      </c>
      <c r="N637" s="374"/>
      <c r="O637" s="374"/>
      <c r="P637" s="375"/>
      <c r="Q637" s="26"/>
      <c r="R637" s="26"/>
      <c r="S637" s="37"/>
    </row>
    <row r="638" spans="3:19" x14ac:dyDescent="0.2">
      <c r="C638" s="366">
        <v>19</v>
      </c>
      <c r="D638" s="367" t="s">
        <v>43</v>
      </c>
      <c r="E638" s="368"/>
      <c r="F638" s="369"/>
      <c r="G638" s="45" t="s">
        <v>18</v>
      </c>
      <c r="H638" s="33">
        <v>46087</v>
      </c>
      <c r="I638" s="377">
        <v>0.32947916666666666</v>
      </c>
      <c r="J638" s="371">
        <v>0.71245370370370376</v>
      </c>
      <c r="K638" s="372"/>
      <c r="L638" s="372"/>
      <c r="M638" s="373"/>
      <c r="N638" s="374"/>
      <c r="O638" s="374"/>
      <c r="P638" s="375"/>
      <c r="Q638" s="26"/>
      <c r="R638" s="26"/>
      <c r="S638" s="37"/>
    </row>
    <row r="639" spans="3:19" x14ac:dyDescent="0.2">
      <c r="C639" s="366">
        <v>19</v>
      </c>
      <c r="D639" s="367" t="s">
        <v>43</v>
      </c>
      <c r="E639" s="368"/>
      <c r="F639" s="369"/>
      <c r="G639" s="39" t="s">
        <v>19</v>
      </c>
      <c r="H639" s="33">
        <v>46088</v>
      </c>
      <c r="I639" s="377">
        <v>0.32973379629629629</v>
      </c>
      <c r="J639" s="371">
        <v>0.54837962962962961</v>
      </c>
      <c r="K639" s="372"/>
      <c r="L639" s="372"/>
      <c r="M639" s="373"/>
      <c r="N639" s="374"/>
      <c r="O639" s="374"/>
      <c r="P639" s="375"/>
      <c r="Q639" s="26"/>
      <c r="R639" s="26"/>
      <c r="S639" s="37"/>
    </row>
    <row r="640" spans="3:19" x14ac:dyDescent="0.2">
      <c r="C640" s="366">
        <v>19</v>
      </c>
      <c r="D640" s="367" t="s">
        <v>43</v>
      </c>
      <c r="E640" s="368"/>
      <c r="F640" s="369"/>
      <c r="G640" s="46" t="s">
        <v>13</v>
      </c>
      <c r="H640" s="33">
        <v>46089</v>
      </c>
      <c r="I640" s="376">
        <v>0.33003472222222224</v>
      </c>
      <c r="J640" s="371">
        <v>0.66670138888888886</v>
      </c>
      <c r="K640" s="372"/>
      <c r="L640" s="372"/>
      <c r="M640" s="373"/>
      <c r="N640" s="374"/>
      <c r="O640" s="374">
        <v>1</v>
      </c>
      <c r="P640" s="375"/>
      <c r="Q640" s="26"/>
      <c r="R640" s="26"/>
      <c r="S640" s="37"/>
    </row>
    <row r="641" spans="3:19" x14ac:dyDescent="0.25">
      <c r="C641" s="366">
        <v>19</v>
      </c>
      <c r="D641" s="367" t="s">
        <v>43</v>
      </c>
      <c r="E641" s="368"/>
      <c r="F641" s="369"/>
      <c r="G641" s="39" t="s">
        <v>14</v>
      </c>
      <c r="H641" s="33">
        <v>46090</v>
      </c>
      <c r="I641" s="5">
        <v>0.78640046296296295</v>
      </c>
      <c r="J641" s="377">
        <v>0.2086689814814815</v>
      </c>
      <c r="K641" s="372"/>
      <c r="L641" s="372"/>
      <c r="M641" s="373">
        <v>2</v>
      </c>
      <c r="N641" s="374"/>
      <c r="O641" s="374"/>
      <c r="P641" s="375"/>
      <c r="Q641" s="26"/>
      <c r="R641" s="26"/>
      <c r="S641" s="37"/>
    </row>
    <row r="642" spans="3:19" x14ac:dyDescent="0.2">
      <c r="C642" s="366">
        <v>19</v>
      </c>
      <c r="D642" s="367" t="s">
        <v>43</v>
      </c>
      <c r="E642" s="368"/>
      <c r="F642" s="369"/>
      <c r="G642" s="39" t="s">
        <v>15</v>
      </c>
      <c r="H642" s="33">
        <v>46091</v>
      </c>
      <c r="I642" s="376">
        <v>0.78704861111111113</v>
      </c>
      <c r="J642" s="371">
        <v>0.20836805555555557</v>
      </c>
      <c r="K642" s="372"/>
      <c r="L642" s="372"/>
      <c r="M642" s="373"/>
      <c r="N642" s="374"/>
      <c r="O642" s="374"/>
      <c r="P642" s="375"/>
      <c r="Q642" s="26"/>
      <c r="R642" s="26"/>
      <c r="S642" s="37"/>
    </row>
    <row r="643" spans="3:19" x14ac:dyDescent="0.2">
      <c r="C643" s="366">
        <v>19</v>
      </c>
      <c r="D643" s="367" t="s">
        <v>43</v>
      </c>
      <c r="E643" s="368"/>
      <c r="F643" s="369"/>
      <c r="G643" s="39" t="s">
        <v>16</v>
      </c>
      <c r="H643" s="33">
        <v>46092</v>
      </c>
      <c r="I643" s="377">
        <v>0.78774305555555557</v>
      </c>
      <c r="J643" s="371">
        <v>0.2084722222222222</v>
      </c>
      <c r="K643" s="372"/>
      <c r="L643" s="372"/>
      <c r="M643" s="373"/>
      <c r="N643" s="374"/>
      <c r="O643" s="374"/>
      <c r="P643" s="375"/>
      <c r="Q643" s="26"/>
      <c r="R643" s="26"/>
      <c r="S643" s="37"/>
    </row>
    <row r="644" spans="3:19" x14ac:dyDescent="0.2">
      <c r="C644" s="366">
        <v>19</v>
      </c>
      <c r="D644" s="367" t="s">
        <v>43</v>
      </c>
      <c r="E644" s="368"/>
      <c r="F644" s="369"/>
      <c r="G644" s="39" t="s">
        <v>17</v>
      </c>
      <c r="H644" s="33">
        <v>46093</v>
      </c>
      <c r="I644" s="377">
        <v>0.7869560185185186</v>
      </c>
      <c r="J644" s="371">
        <v>0.2084722222222222</v>
      </c>
      <c r="K644" s="372"/>
      <c r="L644" s="372"/>
      <c r="M644" s="373"/>
      <c r="N644" s="374"/>
      <c r="O644" s="374"/>
      <c r="P644" s="375"/>
      <c r="Q644" s="26"/>
      <c r="R644" s="26"/>
      <c r="S644" s="37"/>
    </row>
    <row r="645" spans="3:19" x14ac:dyDescent="0.2">
      <c r="C645" s="366">
        <v>19</v>
      </c>
      <c r="D645" s="367" t="s">
        <v>43</v>
      </c>
      <c r="E645" s="368"/>
      <c r="F645" s="369"/>
      <c r="G645" s="48" t="s">
        <v>18</v>
      </c>
      <c r="H645" s="33">
        <v>46094</v>
      </c>
      <c r="I645" s="376">
        <v>0.70306712962962958</v>
      </c>
      <c r="J645" s="371">
        <v>5.2187499999999998E-2</v>
      </c>
      <c r="K645" s="372"/>
      <c r="L645" s="372"/>
      <c r="M645" s="373"/>
      <c r="N645" s="374"/>
      <c r="O645" s="374"/>
      <c r="P645" s="375"/>
      <c r="Q645" s="26"/>
      <c r="R645" s="26"/>
      <c r="S645" s="37"/>
    </row>
    <row r="646" spans="3:19" x14ac:dyDescent="0.2">
      <c r="C646" s="366">
        <v>19</v>
      </c>
      <c r="D646" s="367" t="s">
        <v>43</v>
      </c>
      <c r="E646" s="368"/>
      <c r="F646" s="369"/>
      <c r="G646" s="39" t="s">
        <v>19</v>
      </c>
      <c r="H646" s="33">
        <v>46095</v>
      </c>
      <c r="I646" s="377"/>
      <c r="J646" s="371"/>
      <c r="K646" s="372"/>
      <c r="L646" s="372"/>
      <c r="M646" s="373"/>
      <c r="N646" s="374"/>
      <c r="O646" s="374"/>
      <c r="P646" s="375"/>
      <c r="Q646" s="26"/>
      <c r="R646" s="26"/>
      <c r="S646" s="37"/>
    </row>
    <row r="647" spans="3:19" x14ac:dyDescent="0.2">
      <c r="C647" s="366">
        <v>19</v>
      </c>
      <c r="D647" s="367" t="s">
        <v>43</v>
      </c>
      <c r="E647" s="368"/>
      <c r="F647" s="369"/>
      <c r="G647" s="46" t="s">
        <v>13</v>
      </c>
      <c r="H647" s="33">
        <v>46096</v>
      </c>
      <c r="I647" s="377"/>
      <c r="J647" s="371"/>
      <c r="K647" s="372"/>
      <c r="L647" s="372"/>
      <c r="M647" s="373"/>
      <c r="N647" s="374"/>
      <c r="O647" s="374"/>
      <c r="P647" s="44"/>
      <c r="Q647" s="26"/>
      <c r="R647" s="26"/>
      <c r="S647" s="37"/>
    </row>
    <row r="648" spans="3:19" x14ac:dyDescent="0.2">
      <c r="C648" s="366">
        <v>19</v>
      </c>
      <c r="D648" s="367" t="s">
        <v>43</v>
      </c>
      <c r="E648" s="368"/>
      <c r="F648" s="369"/>
      <c r="G648" s="39" t="s">
        <v>14</v>
      </c>
      <c r="H648" s="33">
        <v>46097</v>
      </c>
      <c r="I648" s="370"/>
      <c r="J648" s="371"/>
      <c r="K648" s="372"/>
      <c r="L648" s="372"/>
      <c r="M648" s="373"/>
      <c r="N648" s="374"/>
      <c r="O648" s="374"/>
      <c r="P648" s="375"/>
      <c r="Q648" s="26"/>
      <c r="R648" s="26"/>
      <c r="S648" s="37"/>
    </row>
    <row r="649" spans="3:19" x14ac:dyDescent="0.2">
      <c r="C649" s="366">
        <v>19</v>
      </c>
      <c r="D649" s="367" t="s">
        <v>43</v>
      </c>
      <c r="E649" s="368"/>
      <c r="F649" s="369"/>
      <c r="G649" s="39" t="s">
        <v>15</v>
      </c>
      <c r="H649" s="33">
        <v>46098</v>
      </c>
      <c r="I649" s="370"/>
      <c r="J649" s="371"/>
      <c r="K649" s="372"/>
      <c r="L649" s="372"/>
      <c r="M649" s="373"/>
      <c r="N649" s="374"/>
      <c r="O649" s="374"/>
      <c r="P649" s="375"/>
      <c r="Q649" s="26"/>
      <c r="R649" s="26"/>
      <c r="S649" s="37"/>
    </row>
    <row r="650" spans="3:19" x14ac:dyDescent="0.2">
      <c r="C650" s="366">
        <v>19</v>
      </c>
      <c r="D650" s="367" t="s">
        <v>43</v>
      </c>
      <c r="E650" s="368"/>
      <c r="F650" s="369"/>
      <c r="G650" s="39" t="s">
        <v>16</v>
      </c>
      <c r="H650" s="33">
        <v>46099</v>
      </c>
      <c r="I650" s="376"/>
      <c r="J650" s="371"/>
      <c r="K650" s="372"/>
      <c r="L650" s="372"/>
      <c r="M650" s="373"/>
      <c r="N650" s="374"/>
      <c r="O650" s="374"/>
      <c r="P650" s="375"/>
      <c r="Q650" s="26"/>
      <c r="R650" s="26"/>
      <c r="S650" s="37"/>
    </row>
    <row r="651" spans="3:19" x14ac:dyDescent="0.2">
      <c r="C651" s="366">
        <v>19</v>
      </c>
      <c r="D651" s="367" t="s">
        <v>43</v>
      </c>
      <c r="E651" s="368"/>
      <c r="F651" s="369"/>
      <c r="G651" s="39" t="s">
        <v>17</v>
      </c>
      <c r="H651" s="33">
        <v>46100</v>
      </c>
      <c r="I651" s="376"/>
      <c r="J651" s="371"/>
      <c r="K651" s="372"/>
      <c r="L651" s="372"/>
      <c r="M651" s="373"/>
      <c r="N651" s="374"/>
      <c r="O651" s="374"/>
      <c r="P651" s="375"/>
      <c r="Q651" s="26"/>
      <c r="R651" s="26"/>
      <c r="S651" s="37"/>
    </row>
    <row r="652" spans="3:19" x14ac:dyDescent="0.2">
      <c r="C652" s="366">
        <v>19</v>
      </c>
      <c r="D652" s="367" t="s">
        <v>43</v>
      </c>
      <c r="E652" s="368"/>
      <c r="F652" s="369"/>
      <c r="G652" s="39" t="s">
        <v>18</v>
      </c>
      <c r="H652" s="33">
        <v>46101</v>
      </c>
      <c r="I652" s="377"/>
      <c r="J652" s="371"/>
      <c r="K652" s="372"/>
      <c r="L652" s="372"/>
      <c r="M652" s="373"/>
      <c r="N652" s="374"/>
      <c r="O652" s="374"/>
      <c r="P652" s="375"/>
      <c r="Q652" s="26"/>
      <c r="R652" s="26"/>
      <c r="S652" s="37"/>
    </row>
    <row r="653" spans="3:19" x14ac:dyDescent="0.2">
      <c r="C653" s="366">
        <v>19</v>
      </c>
      <c r="D653" s="367" t="s">
        <v>43</v>
      </c>
      <c r="E653" s="368"/>
      <c r="F653" s="369"/>
      <c r="G653" s="39" t="s">
        <v>19</v>
      </c>
      <c r="H653" s="33">
        <v>46102</v>
      </c>
      <c r="I653" s="377"/>
      <c r="J653" s="371"/>
      <c r="K653" s="372"/>
      <c r="L653" s="372"/>
      <c r="M653" s="373"/>
      <c r="N653" s="374"/>
      <c r="O653" s="374"/>
      <c r="P653" s="375"/>
      <c r="Q653" s="26"/>
      <c r="R653" s="26"/>
      <c r="S653" s="37"/>
    </row>
    <row r="654" spans="3:19" x14ac:dyDescent="0.2">
      <c r="C654" s="366">
        <v>19</v>
      </c>
      <c r="D654" s="367" t="s">
        <v>43</v>
      </c>
      <c r="E654" s="368"/>
      <c r="F654" s="369"/>
      <c r="G654" s="46" t="s">
        <v>13</v>
      </c>
      <c r="H654" s="33">
        <v>46103</v>
      </c>
      <c r="I654" s="377"/>
      <c r="J654" s="371"/>
      <c r="K654" s="372"/>
      <c r="L654" s="372"/>
      <c r="M654" s="373"/>
      <c r="N654" s="374"/>
      <c r="O654" s="374"/>
      <c r="P654" s="375"/>
      <c r="Q654" s="26"/>
      <c r="R654" s="26"/>
      <c r="S654" s="37"/>
    </row>
    <row r="655" spans="3:19" x14ac:dyDescent="0.2">
      <c r="C655" s="366">
        <v>19</v>
      </c>
      <c r="D655" s="367" t="s">
        <v>43</v>
      </c>
      <c r="E655" s="368"/>
      <c r="F655" s="369"/>
      <c r="G655" s="39" t="s">
        <v>14</v>
      </c>
      <c r="H655" s="33">
        <v>46104</v>
      </c>
      <c r="I655" s="376"/>
      <c r="J655" s="371"/>
      <c r="K655" s="372"/>
      <c r="L655" s="372"/>
      <c r="M655" s="373"/>
      <c r="N655" s="374"/>
      <c r="O655" s="374"/>
      <c r="P655" s="375"/>
      <c r="Q655" s="26"/>
      <c r="R655" s="26"/>
      <c r="S655" s="37"/>
    </row>
    <row r="656" spans="3:19" x14ac:dyDescent="0.2">
      <c r="C656" s="366">
        <v>19</v>
      </c>
      <c r="D656" s="367" t="s">
        <v>43</v>
      </c>
      <c r="E656" s="368"/>
      <c r="F656" s="369"/>
      <c r="G656" s="39" t="s">
        <v>15</v>
      </c>
      <c r="H656" s="33">
        <v>46105</v>
      </c>
      <c r="I656" s="377"/>
      <c r="J656" s="371"/>
      <c r="K656" s="372"/>
      <c r="L656" s="372"/>
      <c r="M656" s="373"/>
      <c r="N656" s="374"/>
      <c r="O656" s="374"/>
      <c r="P656" s="375"/>
      <c r="Q656" s="26"/>
      <c r="R656" s="26"/>
      <c r="S656" s="37"/>
    </row>
    <row r="657" spans="3:19" x14ac:dyDescent="0.2">
      <c r="C657" s="366">
        <v>19</v>
      </c>
      <c r="D657" s="367" t="s">
        <v>43</v>
      </c>
      <c r="E657" s="368"/>
      <c r="F657" s="369"/>
      <c r="G657" s="39" t="s">
        <v>16</v>
      </c>
      <c r="H657" s="33">
        <v>46106</v>
      </c>
      <c r="I657" s="377"/>
      <c r="J657" s="371"/>
      <c r="K657" s="372"/>
      <c r="L657" s="372"/>
      <c r="M657" s="373"/>
      <c r="N657" s="374"/>
      <c r="O657" s="374"/>
      <c r="P657" s="375"/>
      <c r="Q657" s="26"/>
      <c r="R657" s="26"/>
      <c r="S657" s="37"/>
    </row>
    <row r="658" spans="3:19" x14ac:dyDescent="0.2">
      <c r="C658" s="366">
        <v>19</v>
      </c>
      <c r="D658" s="367" t="s">
        <v>43</v>
      </c>
      <c r="E658" s="368"/>
      <c r="F658" s="369"/>
      <c r="G658" s="39" t="s">
        <v>17</v>
      </c>
      <c r="H658" s="33">
        <v>46107</v>
      </c>
      <c r="I658" s="376"/>
      <c r="J658" s="371"/>
      <c r="K658" s="372"/>
      <c r="L658" s="372"/>
      <c r="M658" s="373"/>
      <c r="N658" s="374"/>
      <c r="O658" s="374"/>
      <c r="P658" s="375"/>
      <c r="Q658" s="26"/>
      <c r="R658" s="26"/>
      <c r="S658" s="37"/>
    </row>
    <row r="659" spans="3:19" x14ac:dyDescent="0.2">
      <c r="C659" s="366">
        <v>19</v>
      </c>
      <c r="D659" s="367" t="s">
        <v>43</v>
      </c>
      <c r="E659" s="368"/>
      <c r="F659" s="369"/>
      <c r="G659" s="39" t="s">
        <v>18</v>
      </c>
      <c r="H659" s="33">
        <v>46108</v>
      </c>
      <c r="I659" s="377"/>
      <c r="J659" s="371"/>
      <c r="K659" s="372"/>
      <c r="L659" s="372"/>
      <c r="M659" s="373"/>
      <c r="N659" s="374"/>
      <c r="O659" s="374"/>
      <c r="P659" s="375"/>
      <c r="Q659" s="26"/>
      <c r="R659" s="26"/>
      <c r="S659" s="37"/>
    </row>
    <row r="660" spans="3:19" x14ac:dyDescent="0.2">
      <c r="C660" s="366">
        <v>19</v>
      </c>
      <c r="D660" s="367" t="s">
        <v>43</v>
      </c>
      <c r="E660" s="368"/>
      <c r="F660" s="369"/>
      <c r="G660" s="39" t="s">
        <v>19</v>
      </c>
      <c r="H660" s="33">
        <v>46109</v>
      </c>
      <c r="I660" s="377"/>
      <c r="J660" s="371"/>
      <c r="K660" s="372"/>
      <c r="L660" s="372"/>
      <c r="M660" s="373"/>
      <c r="N660" s="374"/>
      <c r="O660" s="374"/>
      <c r="P660" s="375"/>
      <c r="Q660" s="26"/>
      <c r="R660" s="26"/>
      <c r="S660" s="37"/>
    </row>
    <row r="661" spans="3:19" x14ac:dyDescent="0.2">
      <c r="C661" s="366">
        <v>19</v>
      </c>
      <c r="D661" s="367" t="s">
        <v>43</v>
      </c>
      <c r="E661" s="368"/>
      <c r="F661" s="369"/>
      <c r="G661" s="46" t="s">
        <v>13</v>
      </c>
      <c r="H661" s="33">
        <v>46110</v>
      </c>
      <c r="I661" s="377"/>
      <c r="J661" s="371"/>
      <c r="K661" s="372"/>
      <c r="L661" s="372"/>
      <c r="M661" s="373"/>
      <c r="N661" s="374"/>
      <c r="O661" s="374"/>
      <c r="P661" s="375"/>
      <c r="Q661" s="26"/>
      <c r="R661" s="26"/>
      <c r="S661" s="37"/>
    </row>
    <row r="662" spans="3:19" x14ac:dyDescent="0.2">
      <c r="C662" s="366">
        <v>19</v>
      </c>
      <c r="D662" s="367" t="s">
        <v>43</v>
      </c>
      <c r="E662" s="368"/>
      <c r="F662" s="369"/>
      <c r="G662" s="39" t="s">
        <v>14</v>
      </c>
      <c r="H662" s="33">
        <v>46111</v>
      </c>
      <c r="I662" s="377"/>
      <c r="J662" s="371"/>
      <c r="K662" s="372"/>
      <c r="L662" s="372"/>
      <c r="M662" s="373"/>
      <c r="N662" s="374"/>
      <c r="O662" s="374"/>
      <c r="P662" s="375"/>
      <c r="Q662" s="26"/>
      <c r="R662" s="26"/>
      <c r="S662" s="37"/>
    </row>
    <row r="663" spans="3:19" x14ac:dyDescent="0.2">
      <c r="C663" s="366">
        <v>19</v>
      </c>
      <c r="D663" s="367" t="s">
        <v>43</v>
      </c>
      <c r="E663" s="368"/>
      <c r="F663" s="369"/>
      <c r="G663" s="39" t="s">
        <v>15</v>
      </c>
      <c r="H663" s="33">
        <v>46112</v>
      </c>
      <c r="I663" s="377"/>
      <c r="J663" s="371"/>
      <c r="K663" s="372"/>
      <c r="L663" s="372"/>
      <c r="M663" s="373"/>
      <c r="N663" s="374"/>
      <c r="O663" s="374"/>
      <c r="P663" s="375"/>
      <c r="Q663" s="26"/>
      <c r="R663" s="26"/>
      <c r="S663" s="37"/>
    </row>
    <row r="664" spans="3:19" x14ac:dyDescent="0.2">
      <c r="C664" s="378"/>
      <c r="D664" s="379"/>
      <c r="E664" s="380"/>
      <c r="F664" s="380"/>
      <c r="G664" s="381"/>
      <c r="H664" s="382"/>
      <c r="I664" s="383" t="str">
        <f>D636</f>
        <v>KHAERUL FUAD</v>
      </c>
      <c r="J664" s="384" t="s">
        <v>20</v>
      </c>
      <c r="K664" s="385"/>
      <c r="L664" s="385"/>
      <c r="M664" s="386">
        <f>SUM(M633:M663)</f>
        <v>4</v>
      </c>
      <c r="N664" s="386">
        <f t="shared" ref="N664:O664" si="13">SUM(N633:N663)</f>
        <v>0</v>
      </c>
      <c r="O664" s="386">
        <f t="shared" si="13"/>
        <v>1</v>
      </c>
      <c r="P664" s="387"/>
      <c r="Q664" s="26"/>
      <c r="R664" s="26"/>
      <c r="S664" s="37"/>
    </row>
    <row r="665" spans="3:19" x14ac:dyDescent="0.2">
      <c r="C665" s="58"/>
      <c r="D665" s="59"/>
      <c r="E665" s="60"/>
      <c r="F665" s="60"/>
      <c r="G665" s="61"/>
      <c r="H665" s="62"/>
      <c r="I665" s="63"/>
      <c r="J665" s="63"/>
      <c r="K665" s="62"/>
      <c r="L665" s="62"/>
      <c r="M665" s="62"/>
      <c r="N665" s="64"/>
      <c r="O665" s="64"/>
      <c r="P665" s="65"/>
      <c r="Q665" s="26"/>
      <c r="R665" s="26"/>
      <c r="S665" s="37"/>
    </row>
    <row r="666" spans="3:19" x14ac:dyDescent="0.2">
      <c r="C666" s="365" t="s">
        <v>1</v>
      </c>
      <c r="D666" s="67" t="s">
        <v>2</v>
      </c>
      <c r="E666" s="68" t="s">
        <v>3</v>
      </c>
      <c r="F666" s="68" t="s">
        <v>4</v>
      </c>
      <c r="G666" s="69" t="s">
        <v>5</v>
      </c>
      <c r="H666" s="68" t="s">
        <v>6</v>
      </c>
      <c r="I666" s="70" t="s">
        <v>7</v>
      </c>
      <c r="J666" s="70" t="s">
        <v>8</v>
      </c>
      <c r="K666" s="71"/>
      <c r="L666" s="72"/>
      <c r="M666" s="72" t="s">
        <v>9</v>
      </c>
      <c r="N666" s="73" t="s">
        <v>10</v>
      </c>
      <c r="O666" s="73" t="s">
        <v>11</v>
      </c>
      <c r="P666" s="198"/>
      <c r="Q666" s="26"/>
      <c r="R666" s="26"/>
      <c r="S666" s="37"/>
    </row>
    <row r="667" spans="3:19" x14ac:dyDescent="0.2">
      <c r="C667" s="366">
        <v>20</v>
      </c>
      <c r="D667" s="367" t="s">
        <v>44</v>
      </c>
      <c r="E667" s="368"/>
      <c r="F667" s="369"/>
      <c r="G667" s="32" t="s">
        <v>13</v>
      </c>
      <c r="H667" s="33">
        <v>46082</v>
      </c>
      <c r="I667" s="370"/>
      <c r="J667" s="371"/>
      <c r="K667" s="372"/>
      <c r="L667" s="372"/>
      <c r="M667" s="373"/>
      <c r="N667" s="374"/>
      <c r="O667" s="374"/>
      <c r="P667" s="375"/>
      <c r="Q667" s="26"/>
      <c r="R667" s="26"/>
      <c r="S667" s="37"/>
    </row>
    <row r="668" spans="3:19" x14ac:dyDescent="0.2">
      <c r="C668" s="366">
        <v>20</v>
      </c>
      <c r="D668" s="367" t="s">
        <v>44</v>
      </c>
      <c r="E668" s="368"/>
      <c r="F668" s="369"/>
      <c r="G668" s="29" t="s">
        <v>14</v>
      </c>
      <c r="H668" s="33">
        <v>46083</v>
      </c>
      <c r="I668" s="376">
        <v>0.31510416666666669</v>
      </c>
      <c r="J668" s="371"/>
      <c r="K668" s="372"/>
      <c r="L668" s="372"/>
      <c r="M668" s="373"/>
      <c r="N668" s="374"/>
      <c r="O668" s="374"/>
      <c r="P668" s="375"/>
      <c r="Q668" s="26"/>
      <c r="R668" s="26"/>
      <c r="S668" s="37"/>
    </row>
    <row r="669" spans="3:19" x14ac:dyDescent="0.2">
      <c r="C669" s="366">
        <v>20</v>
      </c>
      <c r="D669" s="367" t="s">
        <v>44</v>
      </c>
      <c r="E669" s="368"/>
      <c r="F669" s="369"/>
      <c r="G669" s="39" t="s">
        <v>15</v>
      </c>
      <c r="H669" s="33">
        <v>46084</v>
      </c>
      <c r="I669" s="377">
        <v>0.29131944444444446</v>
      </c>
      <c r="J669" s="371">
        <v>0.70953703703703708</v>
      </c>
      <c r="K669" s="372"/>
      <c r="L669" s="372"/>
      <c r="M669" s="373"/>
      <c r="N669" s="374"/>
      <c r="O669" s="374"/>
      <c r="P669" s="375"/>
      <c r="Q669" s="26"/>
      <c r="R669" s="26"/>
      <c r="S669" s="37"/>
    </row>
    <row r="670" spans="3:19" x14ac:dyDescent="0.2">
      <c r="C670" s="366">
        <v>20</v>
      </c>
      <c r="D670" s="367" t="s">
        <v>44</v>
      </c>
      <c r="E670" s="368"/>
      <c r="F670" s="369"/>
      <c r="G670" s="39" t="s">
        <v>16</v>
      </c>
      <c r="H670" s="33">
        <v>46085</v>
      </c>
      <c r="I670" s="377">
        <v>0.28736111111111112</v>
      </c>
      <c r="J670" s="371">
        <v>0.71043981481481477</v>
      </c>
      <c r="K670" s="372"/>
      <c r="L670" s="372"/>
      <c r="M670" s="373"/>
      <c r="N670" s="374"/>
      <c r="O670" s="374"/>
      <c r="P670" s="375"/>
      <c r="Q670" s="26"/>
      <c r="R670" s="26"/>
      <c r="S670" s="37"/>
    </row>
    <row r="671" spans="3:19" x14ac:dyDescent="0.2">
      <c r="C671" s="366">
        <v>20</v>
      </c>
      <c r="D671" s="367" t="s">
        <v>44</v>
      </c>
      <c r="E671" s="368"/>
      <c r="F671" s="369"/>
      <c r="G671" s="39" t="s">
        <v>17</v>
      </c>
      <c r="H671" s="33">
        <v>46086</v>
      </c>
      <c r="I671" s="377">
        <v>0.32665509259259257</v>
      </c>
      <c r="J671" s="371">
        <v>0.70896990740740751</v>
      </c>
      <c r="K671" s="372"/>
      <c r="L671" s="372"/>
      <c r="M671" s="373"/>
      <c r="N671" s="374"/>
      <c r="O671" s="374"/>
      <c r="P671" s="375"/>
      <c r="Q671" s="26"/>
      <c r="R671" s="26"/>
      <c r="S671" s="37"/>
    </row>
    <row r="672" spans="3:19" x14ac:dyDescent="0.2">
      <c r="C672" s="366">
        <v>20</v>
      </c>
      <c r="D672" s="367" t="s">
        <v>44</v>
      </c>
      <c r="E672" s="368"/>
      <c r="F672" s="369"/>
      <c r="G672" s="45" t="s">
        <v>18</v>
      </c>
      <c r="H672" s="33">
        <v>46087</v>
      </c>
      <c r="I672" s="377">
        <v>0.30885416666666665</v>
      </c>
      <c r="J672" s="371">
        <v>0.70925925925925926</v>
      </c>
      <c r="K672" s="372"/>
      <c r="L672" s="372"/>
      <c r="M672" s="373"/>
      <c r="N672" s="374"/>
      <c r="O672" s="374"/>
      <c r="P672" s="375"/>
      <c r="Q672" s="26"/>
      <c r="R672" s="26"/>
      <c r="S672" s="37"/>
    </row>
    <row r="673" spans="3:19" x14ac:dyDescent="0.2">
      <c r="C673" s="366">
        <v>20</v>
      </c>
      <c r="D673" s="367" t="s">
        <v>44</v>
      </c>
      <c r="E673" s="368"/>
      <c r="F673" s="369"/>
      <c r="G673" s="39" t="s">
        <v>19</v>
      </c>
      <c r="H673" s="33">
        <v>46088</v>
      </c>
      <c r="I673" s="377">
        <v>0.29550925925925925</v>
      </c>
      <c r="J673" s="371">
        <v>0.54533564814814817</v>
      </c>
      <c r="K673" s="372"/>
      <c r="L673" s="372"/>
      <c r="M673" s="373"/>
      <c r="N673" s="374"/>
      <c r="O673" s="374"/>
      <c r="P673" s="375"/>
      <c r="Q673" s="26"/>
      <c r="R673" s="26"/>
      <c r="S673" s="37"/>
    </row>
    <row r="674" spans="3:19" x14ac:dyDescent="0.25">
      <c r="C674" s="366">
        <v>20</v>
      </c>
      <c r="D674" s="367" t="s">
        <v>44</v>
      </c>
      <c r="E674" s="368"/>
      <c r="F674" s="369"/>
      <c r="G674" s="46" t="s">
        <v>13</v>
      </c>
      <c r="H674" s="33">
        <v>46089</v>
      </c>
      <c r="I674" s="370"/>
      <c r="K674" s="372"/>
      <c r="L674" s="372"/>
      <c r="M674" s="373"/>
      <c r="N674" s="374"/>
      <c r="O674" s="374"/>
      <c r="P674" s="375"/>
      <c r="Q674" s="26"/>
      <c r="R674" s="26"/>
      <c r="S674" s="37"/>
    </row>
    <row r="675" spans="3:19" x14ac:dyDescent="0.25">
      <c r="C675" s="366">
        <v>20</v>
      </c>
      <c r="D675" s="367" t="s">
        <v>44</v>
      </c>
      <c r="E675" s="368"/>
      <c r="F675" s="369"/>
      <c r="G675" s="39" t="s">
        <v>14</v>
      </c>
      <c r="H675" s="33">
        <v>46090</v>
      </c>
      <c r="I675" s="5">
        <v>0.32224537037037038</v>
      </c>
      <c r="J675" s="377">
        <v>0.70942129629629624</v>
      </c>
      <c r="K675" s="372"/>
      <c r="L675" s="372"/>
      <c r="M675" s="373"/>
      <c r="N675" s="374"/>
      <c r="O675" s="374"/>
      <c r="P675" s="375"/>
      <c r="Q675" s="26"/>
      <c r="R675" s="26"/>
      <c r="S675" s="37"/>
    </row>
    <row r="676" spans="3:19" x14ac:dyDescent="0.2">
      <c r="C676" s="366">
        <v>20</v>
      </c>
      <c r="D676" s="367" t="s">
        <v>44</v>
      </c>
      <c r="E676" s="368"/>
      <c r="F676" s="369"/>
      <c r="G676" s="39" t="s">
        <v>15</v>
      </c>
      <c r="H676" s="33">
        <v>46091</v>
      </c>
      <c r="I676" s="376">
        <v>0.30253472222222222</v>
      </c>
      <c r="J676" s="371">
        <v>0.7088310185185186</v>
      </c>
      <c r="K676" s="372"/>
      <c r="L676" s="372"/>
      <c r="M676" s="373"/>
      <c r="N676" s="374"/>
      <c r="O676" s="374"/>
      <c r="P676" s="375"/>
      <c r="Q676" s="26"/>
      <c r="R676" s="26"/>
      <c r="S676" s="37"/>
    </row>
    <row r="677" spans="3:19" x14ac:dyDescent="0.2">
      <c r="C677" s="366">
        <v>20</v>
      </c>
      <c r="D677" s="367" t="s">
        <v>44</v>
      </c>
      <c r="E677" s="368"/>
      <c r="F677" s="369"/>
      <c r="G677" s="39" t="s">
        <v>16</v>
      </c>
      <c r="H677" s="33">
        <v>46092</v>
      </c>
      <c r="I677" s="377">
        <v>0.32284722222222223</v>
      </c>
      <c r="J677" s="371">
        <v>0.70922453703703703</v>
      </c>
      <c r="K677" s="372"/>
      <c r="L677" s="372"/>
      <c r="M677" s="373"/>
      <c r="N677" s="374"/>
      <c r="O677" s="374"/>
      <c r="P677" s="375"/>
      <c r="Q677" s="26"/>
      <c r="R677" s="26"/>
      <c r="S677" s="37"/>
    </row>
    <row r="678" spans="3:19" x14ac:dyDescent="0.2">
      <c r="C678" s="366">
        <v>20</v>
      </c>
      <c r="D678" s="367" t="s">
        <v>44</v>
      </c>
      <c r="E678" s="368"/>
      <c r="F678" s="369"/>
      <c r="G678" s="39" t="s">
        <v>17</v>
      </c>
      <c r="H678" s="33">
        <v>46093</v>
      </c>
      <c r="I678" s="377">
        <v>0.30760416666666668</v>
      </c>
      <c r="J678" s="371">
        <v>0.70945601851851858</v>
      </c>
      <c r="K678" s="372"/>
      <c r="L678" s="372"/>
      <c r="M678" s="373"/>
      <c r="N678" s="374"/>
      <c r="O678" s="374"/>
      <c r="P678" s="375"/>
      <c r="Q678" s="26"/>
      <c r="R678" s="26"/>
      <c r="S678" s="37"/>
    </row>
    <row r="679" spans="3:19" x14ac:dyDescent="0.2">
      <c r="C679" s="366">
        <v>20</v>
      </c>
      <c r="D679" s="367" t="s">
        <v>44</v>
      </c>
      <c r="E679" s="368"/>
      <c r="F679" s="369"/>
      <c r="G679" s="48" t="s">
        <v>18</v>
      </c>
      <c r="H679" s="33">
        <v>46094</v>
      </c>
      <c r="I679" s="376">
        <v>0.2898958333333333</v>
      </c>
      <c r="J679" s="371">
        <v>0.7091319444444445</v>
      </c>
      <c r="K679" s="372"/>
      <c r="L679" s="372"/>
      <c r="M679" s="373"/>
      <c r="N679" s="374"/>
      <c r="O679" s="374"/>
      <c r="P679" s="375"/>
      <c r="Q679" s="26"/>
      <c r="R679" s="26"/>
      <c r="S679" s="37"/>
    </row>
    <row r="680" spans="3:19" x14ac:dyDescent="0.2">
      <c r="C680" s="366">
        <v>20</v>
      </c>
      <c r="D680" s="367" t="s">
        <v>44</v>
      </c>
      <c r="E680" s="368"/>
      <c r="F680" s="369"/>
      <c r="G680" s="39" t="s">
        <v>19</v>
      </c>
      <c r="H680" s="33">
        <v>46095</v>
      </c>
      <c r="I680" s="377">
        <v>0.30959490740740742</v>
      </c>
      <c r="J680" s="371"/>
      <c r="K680" s="372"/>
      <c r="L680" s="372"/>
      <c r="M680" s="373"/>
      <c r="N680" s="374"/>
      <c r="O680" s="374"/>
      <c r="P680" s="375"/>
      <c r="Q680" s="26"/>
      <c r="R680" s="26"/>
      <c r="S680" s="37"/>
    </row>
    <row r="681" spans="3:19" x14ac:dyDescent="0.2">
      <c r="C681" s="366">
        <v>20</v>
      </c>
      <c r="D681" s="367" t="s">
        <v>44</v>
      </c>
      <c r="E681" s="368"/>
      <c r="F681" s="369"/>
      <c r="G681" s="46" t="s">
        <v>13</v>
      </c>
      <c r="H681" s="33">
        <v>46096</v>
      </c>
      <c r="I681" s="377"/>
      <c r="J681" s="371"/>
      <c r="K681" s="372"/>
      <c r="L681" s="372"/>
      <c r="M681" s="373"/>
      <c r="N681" s="374"/>
      <c r="O681" s="374"/>
      <c r="P681" s="44"/>
      <c r="Q681" s="26"/>
      <c r="R681" s="26"/>
      <c r="S681" s="37"/>
    </row>
    <row r="682" spans="3:19" x14ac:dyDescent="0.2">
      <c r="C682" s="366">
        <v>20</v>
      </c>
      <c r="D682" s="367" t="s">
        <v>44</v>
      </c>
      <c r="E682" s="368"/>
      <c r="F682" s="369"/>
      <c r="G682" s="39" t="s">
        <v>14</v>
      </c>
      <c r="H682" s="33">
        <v>46097</v>
      </c>
      <c r="I682" s="370"/>
      <c r="J682" s="371"/>
      <c r="K682" s="372"/>
      <c r="L682" s="372"/>
      <c r="M682" s="373"/>
      <c r="N682" s="374"/>
      <c r="O682" s="374"/>
      <c r="P682" s="375"/>
      <c r="Q682" s="26"/>
      <c r="R682" s="26"/>
      <c r="S682" s="37"/>
    </row>
    <row r="683" spans="3:19" x14ac:dyDescent="0.2">
      <c r="C683" s="366">
        <v>20</v>
      </c>
      <c r="D683" s="367" t="s">
        <v>44</v>
      </c>
      <c r="E683" s="368"/>
      <c r="F683" s="369"/>
      <c r="G683" s="39" t="s">
        <v>15</v>
      </c>
      <c r="H683" s="33">
        <v>46098</v>
      </c>
      <c r="I683" s="370"/>
      <c r="J683" s="371"/>
      <c r="K683" s="372"/>
      <c r="L683" s="372"/>
      <c r="M683" s="373"/>
      <c r="N683" s="374"/>
      <c r="O683" s="374"/>
      <c r="P683" s="375"/>
      <c r="Q683" s="26"/>
      <c r="R683" s="26"/>
      <c r="S683" s="37"/>
    </row>
    <row r="684" spans="3:19" x14ac:dyDescent="0.2">
      <c r="C684" s="366">
        <v>20</v>
      </c>
      <c r="D684" s="367" t="s">
        <v>44</v>
      </c>
      <c r="E684" s="368"/>
      <c r="F684" s="369"/>
      <c r="G684" s="39" t="s">
        <v>16</v>
      </c>
      <c r="H684" s="33">
        <v>46099</v>
      </c>
      <c r="I684" s="376"/>
      <c r="J684" s="371"/>
      <c r="K684" s="372"/>
      <c r="L684" s="372"/>
      <c r="M684" s="373"/>
      <c r="N684" s="374"/>
      <c r="O684" s="374"/>
      <c r="P684" s="375"/>
      <c r="Q684" s="26"/>
      <c r="R684" s="26"/>
      <c r="S684" s="37"/>
    </row>
    <row r="685" spans="3:19" x14ac:dyDescent="0.2">
      <c r="C685" s="366">
        <v>20</v>
      </c>
      <c r="D685" s="367" t="s">
        <v>44</v>
      </c>
      <c r="E685" s="368"/>
      <c r="F685" s="369"/>
      <c r="G685" s="39" t="s">
        <v>17</v>
      </c>
      <c r="H685" s="33">
        <v>46100</v>
      </c>
      <c r="I685" s="376"/>
      <c r="J685" s="371"/>
      <c r="K685" s="372"/>
      <c r="L685" s="372"/>
      <c r="M685" s="373"/>
      <c r="N685" s="374"/>
      <c r="O685" s="374"/>
      <c r="P685" s="375"/>
      <c r="Q685" s="26"/>
      <c r="R685" s="26"/>
      <c r="S685" s="37"/>
    </row>
    <row r="686" spans="3:19" x14ac:dyDescent="0.2">
      <c r="C686" s="366">
        <v>20</v>
      </c>
      <c r="D686" s="367" t="s">
        <v>44</v>
      </c>
      <c r="E686" s="368"/>
      <c r="F686" s="369"/>
      <c r="G686" s="39" t="s">
        <v>18</v>
      </c>
      <c r="H686" s="33">
        <v>46101</v>
      </c>
      <c r="I686" s="377"/>
      <c r="J686" s="371"/>
      <c r="K686" s="372"/>
      <c r="L686" s="372"/>
      <c r="M686" s="373"/>
      <c r="N686" s="374"/>
      <c r="O686" s="374"/>
      <c r="P686" s="375"/>
      <c r="Q686" s="26"/>
      <c r="R686" s="26"/>
      <c r="S686" s="37"/>
    </row>
    <row r="687" spans="3:19" x14ac:dyDescent="0.2">
      <c r="C687" s="366">
        <v>20</v>
      </c>
      <c r="D687" s="367" t="s">
        <v>44</v>
      </c>
      <c r="E687" s="368"/>
      <c r="F687" s="369"/>
      <c r="G687" s="39" t="s">
        <v>19</v>
      </c>
      <c r="H687" s="33">
        <v>46102</v>
      </c>
      <c r="I687" s="377"/>
      <c r="J687" s="371"/>
      <c r="K687" s="372"/>
      <c r="L687" s="372"/>
      <c r="M687" s="373"/>
      <c r="N687" s="374"/>
      <c r="O687" s="374"/>
      <c r="P687" s="375"/>
      <c r="Q687" s="26"/>
      <c r="R687" s="26"/>
      <c r="S687" s="37"/>
    </row>
    <row r="688" spans="3:19" x14ac:dyDescent="0.2">
      <c r="C688" s="366">
        <v>20</v>
      </c>
      <c r="D688" s="367" t="s">
        <v>44</v>
      </c>
      <c r="E688" s="368"/>
      <c r="F688" s="369"/>
      <c r="G688" s="46" t="s">
        <v>13</v>
      </c>
      <c r="H688" s="33">
        <v>46103</v>
      </c>
      <c r="I688" s="377"/>
      <c r="J688" s="371"/>
      <c r="K688" s="372"/>
      <c r="L688" s="372"/>
      <c r="M688" s="373"/>
      <c r="N688" s="374"/>
      <c r="O688" s="374"/>
      <c r="P688" s="375"/>
      <c r="Q688" s="26"/>
      <c r="R688" s="26"/>
      <c r="S688" s="37"/>
    </row>
    <row r="689" spans="3:19" x14ac:dyDescent="0.2">
      <c r="C689" s="366">
        <v>20</v>
      </c>
      <c r="D689" s="367" t="s">
        <v>44</v>
      </c>
      <c r="E689" s="368"/>
      <c r="F689" s="369"/>
      <c r="G689" s="39" t="s">
        <v>14</v>
      </c>
      <c r="H689" s="33">
        <v>46104</v>
      </c>
      <c r="I689" s="376"/>
      <c r="J689" s="371"/>
      <c r="K689" s="372"/>
      <c r="L689" s="372"/>
      <c r="M689" s="373"/>
      <c r="N689" s="374"/>
      <c r="O689" s="374"/>
      <c r="P689" s="375"/>
      <c r="Q689" s="26"/>
      <c r="R689" s="26"/>
      <c r="S689" s="37"/>
    </row>
    <row r="690" spans="3:19" x14ac:dyDescent="0.2">
      <c r="C690" s="366">
        <v>20</v>
      </c>
      <c r="D690" s="367" t="s">
        <v>44</v>
      </c>
      <c r="E690" s="368"/>
      <c r="F690" s="369"/>
      <c r="G690" s="39" t="s">
        <v>15</v>
      </c>
      <c r="H690" s="33">
        <v>46105</v>
      </c>
      <c r="I690" s="377"/>
      <c r="J690" s="371"/>
      <c r="K690" s="372"/>
      <c r="L690" s="372"/>
      <c r="M690" s="373"/>
      <c r="N690" s="374"/>
      <c r="O690" s="374"/>
      <c r="P690" s="375"/>
      <c r="Q690" s="26"/>
      <c r="R690" s="26"/>
      <c r="S690" s="37"/>
    </row>
    <row r="691" spans="3:19" x14ac:dyDescent="0.2">
      <c r="C691" s="366">
        <v>20</v>
      </c>
      <c r="D691" s="367" t="s">
        <v>44</v>
      </c>
      <c r="E691" s="368"/>
      <c r="F691" s="369"/>
      <c r="G691" s="39" t="s">
        <v>16</v>
      </c>
      <c r="H691" s="33">
        <v>46106</v>
      </c>
      <c r="I691" s="377"/>
      <c r="J691" s="371"/>
      <c r="K691" s="372"/>
      <c r="L691" s="372"/>
      <c r="M691" s="373"/>
      <c r="N691" s="374"/>
      <c r="O691" s="374"/>
      <c r="P691" s="375"/>
      <c r="Q691" s="26"/>
      <c r="R691" s="26"/>
      <c r="S691" s="37"/>
    </row>
    <row r="692" spans="3:19" x14ac:dyDescent="0.2">
      <c r="C692" s="366">
        <v>20</v>
      </c>
      <c r="D692" s="367" t="s">
        <v>44</v>
      </c>
      <c r="E692" s="368"/>
      <c r="F692" s="369"/>
      <c r="G692" s="39" t="s">
        <v>17</v>
      </c>
      <c r="H692" s="33">
        <v>46107</v>
      </c>
      <c r="I692" s="376"/>
      <c r="J692" s="371"/>
      <c r="K692" s="372"/>
      <c r="L692" s="372"/>
      <c r="M692" s="373"/>
      <c r="N692" s="374"/>
      <c r="O692" s="374"/>
      <c r="P692" s="375"/>
      <c r="Q692" s="26"/>
      <c r="R692" s="26"/>
      <c r="S692" s="37"/>
    </row>
    <row r="693" spans="3:19" x14ac:dyDescent="0.2">
      <c r="C693" s="366">
        <v>20</v>
      </c>
      <c r="D693" s="367" t="s">
        <v>44</v>
      </c>
      <c r="E693" s="368"/>
      <c r="F693" s="369"/>
      <c r="G693" s="39" t="s">
        <v>18</v>
      </c>
      <c r="H693" s="33">
        <v>46108</v>
      </c>
      <c r="I693" s="377"/>
      <c r="J693" s="371"/>
      <c r="K693" s="372"/>
      <c r="L693" s="372"/>
      <c r="M693" s="373"/>
      <c r="N693" s="374"/>
      <c r="O693" s="374"/>
      <c r="P693" s="375"/>
      <c r="Q693" s="26"/>
      <c r="R693" s="26"/>
      <c r="S693" s="37"/>
    </row>
    <row r="694" spans="3:19" x14ac:dyDescent="0.2">
      <c r="C694" s="366">
        <v>20</v>
      </c>
      <c r="D694" s="367" t="s">
        <v>44</v>
      </c>
      <c r="E694" s="368"/>
      <c r="F694" s="369"/>
      <c r="G694" s="39" t="s">
        <v>19</v>
      </c>
      <c r="H694" s="33">
        <v>46109</v>
      </c>
      <c r="I694" s="377"/>
      <c r="J694" s="371"/>
      <c r="K694" s="372"/>
      <c r="L694" s="372"/>
      <c r="M694" s="373"/>
      <c r="N694" s="374"/>
      <c r="O694" s="374"/>
      <c r="P694" s="375"/>
      <c r="Q694" s="26"/>
      <c r="R694" s="26"/>
      <c r="S694" s="37"/>
    </row>
    <row r="695" spans="3:19" x14ac:dyDescent="0.2">
      <c r="C695" s="366">
        <v>20</v>
      </c>
      <c r="D695" s="367" t="s">
        <v>44</v>
      </c>
      <c r="E695" s="368"/>
      <c r="F695" s="369"/>
      <c r="G695" s="46" t="s">
        <v>13</v>
      </c>
      <c r="H695" s="33">
        <v>46110</v>
      </c>
      <c r="I695" s="377"/>
      <c r="J695" s="371"/>
      <c r="K695" s="372"/>
      <c r="L695" s="372"/>
      <c r="M695" s="373"/>
      <c r="N695" s="374"/>
      <c r="O695" s="374"/>
      <c r="P695" s="375"/>
      <c r="Q695" s="26"/>
      <c r="R695" s="26"/>
      <c r="S695" s="37"/>
    </row>
    <row r="696" spans="3:19" x14ac:dyDescent="0.2">
      <c r="C696" s="366">
        <v>20</v>
      </c>
      <c r="D696" s="367" t="s">
        <v>44</v>
      </c>
      <c r="E696" s="368"/>
      <c r="F696" s="369"/>
      <c r="G696" s="39" t="s">
        <v>14</v>
      </c>
      <c r="H696" s="33">
        <v>46111</v>
      </c>
      <c r="I696" s="377"/>
      <c r="J696" s="371"/>
      <c r="K696" s="372"/>
      <c r="L696" s="372"/>
      <c r="M696" s="373"/>
      <c r="N696" s="374"/>
      <c r="O696" s="374"/>
      <c r="P696" s="375"/>
      <c r="Q696" s="26"/>
      <c r="R696" s="26"/>
      <c r="S696" s="37"/>
    </row>
    <row r="697" spans="3:19" x14ac:dyDescent="0.2">
      <c r="C697" s="366">
        <v>20</v>
      </c>
      <c r="D697" s="367" t="s">
        <v>44</v>
      </c>
      <c r="E697" s="368"/>
      <c r="F697" s="369"/>
      <c r="G697" s="39" t="s">
        <v>15</v>
      </c>
      <c r="H697" s="33">
        <v>46112</v>
      </c>
      <c r="I697" s="377"/>
      <c r="J697" s="371"/>
      <c r="K697" s="372"/>
      <c r="L697" s="372"/>
      <c r="M697" s="373"/>
      <c r="N697" s="374"/>
      <c r="O697" s="374"/>
      <c r="P697" s="375"/>
      <c r="Q697" s="26"/>
      <c r="R697" s="26"/>
      <c r="S697" s="37"/>
    </row>
    <row r="698" spans="3:19" x14ac:dyDescent="0.2">
      <c r="C698" s="388"/>
      <c r="D698" s="389"/>
      <c r="E698" s="390"/>
      <c r="F698" s="390"/>
      <c r="G698" s="391"/>
      <c r="H698" s="392"/>
      <c r="I698" s="383" t="str">
        <f>D670</f>
        <v>MUHAIMIN</v>
      </c>
      <c r="J698" s="384" t="s">
        <v>20</v>
      </c>
      <c r="K698" s="385"/>
      <c r="L698" s="385"/>
      <c r="M698" s="393">
        <f>SUM(M667:M697)</f>
        <v>0</v>
      </c>
      <c r="N698" s="393">
        <f t="shared" ref="N698:O698" si="14">SUM(N667:N697)</f>
        <v>0</v>
      </c>
      <c r="O698" s="393">
        <f t="shared" si="14"/>
        <v>0</v>
      </c>
      <c r="P698" s="375"/>
      <c r="Q698" s="26"/>
      <c r="R698" s="26"/>
      <c r="S698" s="37"/>
    </row>
    <row r="699" spans="3:19" x14ac:dyDescent="0.2">
      <c r="C699" s="58"/>
      <c r="D699" s="59"/>
      <c r="E699" s="60"/>
      <c r="F699" s="60"/>
      <c r="G699" s="61"/>
      <c r="H699" s="62"/>
      <c r="I699" s="63"/>
      <c r="J699" s="63"/>
      <c r="K699" s="62"/>
      <c r="L699" s="62"/>
      <c r="M699" s="62"/>
      <c r="N699" s="64"/>
      <c r="O699" s="64"/>
      <c r="P699" s="65"/>
      <c r="Q699" s="26"/>
      <c r="R699" s="26"/>
      <c r="S699" s="37"/>
    </row>
    <row r="700" spans="3:19" x14ac:dyDescent="0.2">
      <c r="C700" s="365" t="s">
        <v>1</v>
      </c>
      <c r="D700" s="67" t="s">
        <v>2</v>
      </c>
      <c r="E700" s="68" t="s">
        <v>3</v>
      </c>
      <c r="F700" s="68" t="s">
        <v>4</v>
      </c>
      <c r="G700" s="69" t="s">
        <v>5</v>
      </c>
      <c r="H700" s="68" t="s">
        <v>6</v>
      </c>
      <c r="I700" s="70" t="s">
        <v>7</v>
      </c>
      <c r="J700" s="70" t="s">
        <v>8</v>
      </c>
      <c r="K700" s="71"/>
      <c r="L700" s="72"/>
      <c r="M700" s="72" t="s">
        <v>9</v>
      </c>
      <c r="N700" s="73" t="s">
        <v>10</v>
      </c>
      <c r="O700" s="73" t="s">
        <v>11</v>
      </c>
      <c r="P700" s="198"/>
      <c r="Q700" s="26"/>
      <c r="R700" s="26"/>
      <c r="S700" s="37"/>
    </row>
    <row r="701" spans="3:19" x14ac:dyDescent="0.2">
      <c r="C701" s="366">
        <v>21</v>
      </c>
      <c r="D701" s="367" t="s">
        <v>45</v>
      </c>
      <c r="E701" s="394" t="s">
        <v>22</v>
      </c>
      <c r="F701" s="395"/>
      <c r="G701" s="32" t="s">
        <v>13</v>
      </c>
      <c r="H701" s="33">
        <v>46082</v>
      </c>
      <c r="I701" s="370"/>
      <c r="J701" s="371"/>
      <c r="K701" s="372"/>
      <c r="L701" s="372"/>
      <c r="M701" s="373"/>
      <c r="N701" s="374"/>
      <c r="O701" s="374"/>
      <c r="P701" s="375"/>
      <c r="Q701" s="26"/>
      <c r="R701" s="26"/>
      <c r="S701" s="37"/>
    </row>
    <row r="702" spans="3:19" x14ac:dyDescent="0.2">
      <c r="C702" s="366">
        <v>21</v>
      </c>
      <c r="D702" s="367" t="s">
        <v>45</v>
      </c>
      <c r="E702" s="394" t="s">
        <v>22</v>
      </c>
      <c r="F702" s="395"/>
      <c r="G702" s="29" t="s">
        <v>14</v>
      </c>
      <c r="H702" s="33">
        <v>46083</v>
      </c>
      <c r="I702" s="376">
        <v>0.32576388888888891</v>
      </c>
      <c r="J702" s="371"/>
      <c r="K702" s="372"/>
      <c r="L702" s="372"/>
      <c r="M702" s="373"/>
      <c r="N702" s="374"/>
      <c r="O702" s="374"/>
      <c r="P702" s="375"/>
      <c r="Q702" s="26"/>
      <c r="R702" s="26"/>
      <c r="S702" s="37"/>
    </row>
    <row r="703" spans="3:19" x14ac:dyDescent="0.2">
      <c r="C703" s="366">
        <v>21</v>
      </c>
      <c r="D703" s="367" t="s">
        <v>45</v>
      </c>
      <c r="E703" s="394" t="s">
        <v>22</v>
      </c>
      <c r="F703" s="395"/>
      <c r="G703" s="39" t="s">
        <v>15</v>
      </c>
      <c r="H703" s="33">
        <v>46084</v>
      </c>
      <c r="I703" s="377">
        <v>0.32670138888888889</v>
      </c>
      <c r="J703" s="371">
        <v>0.80577546296296287</v>
      </c>
      <c r="K703" s="372"/>
      <c r="L703" s="372"/>
      <c r="M703" s="373">
        <v>2</v>
      </c>
      <c r="N703" s="374"/>
      <c r="O703" s="374"/>
      <c r="P703" s="375"/>
      <c r="Q703" s="26"/>
      <c r="R703" s="26"/>
      <c r="S703" s="37"/>
    </row>
    <row r="704" spans="3:19" x14ac:dyDescent="0.2">
      <c r="C704" s="366">
        <v>21</v>
      </c>
      <c r="D704" s="367" t="s">
        <v>45</v>
      </c>
      <c r="E704" s="394" t="s">
        <v>22</v>
      </c>
      <c r="F704" s="395"/>
      <c r="G704" s="39" t="s">
        <v>16</v>
      </c>
      <c r="H704" s="33">
        <v>46085</v>
      </c>
      <c r="I704" s="377">
        <v>0.32702546296296298</v>
      </c>
      <c r="J704" s="371">
        <v>0.71255787037037033</v>
      </c>
      <c r="K704" s="372"/>
      <c r="L704" s="372"/>
      <c r="M704" s="373"/>
      <c r="N704" s="374"/>
      <c r="O704" s="374"/>
      <c r="P704" s="375"/>
      <c r="Q704" s="26"/>
      <c r="R704" s="26"/>
      <c r="S704" s="37"/>
    </row>
    <row r="705" spans="3:19" x14ac:dyDescent="0.2">
      <c r="C705" s="366">
        <v>21</v>
      </c>
      <c r="D705" s="367" t="s">
        <v>45</v>
      </c>
      <c r="E705" s="394" t="s">
        <v>22</v>
      </c>
      <c r="F705" s="395"/>
      <c r="G705" s="39" t="s">
        <v>17</v>
      </c>
      <c r="H705" s="33">
        <v>46086</v>
      </c>
      <c r="I705" s="377">
        <v>0.32930555555555557</v>
      </c>
      <c r="J705" s="371">
        <v>0.80391203703703706</v>
      </c>
      <c r="K705" s="372"/>
      <c r="L705" s="372"/>
      <c r="M705" s="373">
        <v>2</v>
      </c>
      <c r="N705" s="374"/>
      <c r="O705" s="374"/>
      <c r="P705" s="375"/>
      <c r="Q705" s="26"/>
      <c r="R705" s="26"/>
      <c r="S705" s="37"/>
    </row>
    <row r="706" spans="3:19" x14ac:dyDescent="0.2">
      <c r="C706" s="366">
        <v>21</v>
      </c>
      <c r="D706" s="367" t="s">
        <v>45</v>
      </c>
      <c r="E706" s="394" t="s">
        <v>22</v>
      </c>
      <c r="F706" s="395"/>
      <c r="G706" s="45" t="s">
        <v>18</v>
      </c>
      <c r="H706" s="33">
        <v>46087</v>
      </c>
      <c r="I706" s="377">
        <v>0.32694444444444443</v>
      </c>
      <c r="J706" s="371">
        <v>0.7112384259259259</v>
      </c>
      <c r="K706" s="372"/>
      <c r="L706" s="372"/>
      <c r="M706" s="373"/>
      <c r="N706" s="374"/>
      <c r="O706" s="374"/>
      <c r="P706" s="375"/>
      <c r="Q706" s="26"/>
      <c r="R706" s="26"/>
      <c r="S706" s="37"/>
    </row>
    <row r="707" spans="3:19" x14ac:dyDescent="0.2">
      <c r="C707" s="366">
        <v>21</v>
      </c>
      <c r="D707" s="367" t="s">
        <v>45</v>
      </c>
      <c r="E707" s="394" t="s">
        <v>22</v>
      </c>
      <c r="F707" s="395"/>
      <c r="G707" s="39" t="s">
        <v>19</v>
      </c>
      <c r="H707" s="33">
        <v>46088</v>
      </c>
      <c r="I707" s="377"/>
      <c r="J707" s="371">
        <v>0.56825231481481475</v>
      </c>
      <c r="K707" s="372"/>
      <c r="L707" s="372"/>
      <c r="M707" s="373"/>
      <c r="N707" s="374"/>
      <c r="O707" s="374"/>
      <c r="P707" s="375"/>
      <c r="Q707" s="26"/>
      <c r="R707" s="26"/>
      <c r="S707" s="37"/>
    </row>
    <row r="708" spans="3:19" x14ac:dyDescent="0.25">
      <c r="C708" s="366">
        <v>21</v>
      </c>
      <c r="D708" s="396" t="s">
        <v>45</v>
      </c>
      <c r="E708" s="397" t="s">
        <v>22</v>
      </c>
      <c r="F708" s="395"/>
      <c r="G708" s="46" t="s">
        <v>13</v>
      </c>
      <c r="H708" s="33">
        <v>46089</v>
      </c>
      <c r="I708" s="376">
        <v>0.3231134259259259</v>
      </c>
      <c r="J708" s="5">
        <v>0.66686342592592596</v>
      </c>
      <c r="K708" s="372"/>
      <c r="L708" s="372"/>
      <c r="M708" s="373"/>
      <c r="N708" s="374"/>
      <c r="O708" s="374">
        <v>1</v>
      </c>
      <c r="P708" s="375"/>
      <c r="Q708" s="26"/>
      <c r="R708" s="26"/>
      <c r="S708" s="37"/>
    </row>
    <row r="709" spans="3:19" x14ac:dyDescent="0.25">
      <c r="C709" s="366">
        <v>21</v>
      </c>
      <c r="D709" s="396" t="s">
        <v>45</v>
      </c>
      <c r="E709" s="397"/>
      <c r="F709" s="395"/>
      <c r="G709" s="39" t="s">
        <v>14</v>
      </c>
      <c r="H709" s="33">
        <v>46090</v>
      </c>
      <c r="I709" s="5">
        <v>0.78321759259259249</v>
      </c>
      <c r="J709" s="377">
        <v>0.20837962962962964</v>
      </c>
      <c r="K709" s="372"/>
      <c r="L709" s="372"/>
      <c r="M709" s="373">
        <v>2</v>
      </c>
      <c r="N709" s="374"/>
      <c r="O709" s="374"/>
      <c r="P709" s="375"/>
      <c r="Q709" s="26"/>
      <c r="R709" s="26"/>
      <c r="S709" s="37"/>
    </row>
    <row r="710" spans="3:19" x14ac:dyDescent="0.2">
      <c r="C710" s="366">
        <v>21</v>
      </c>
      <c r="D710" s="396" t="s">
        <v>45</v>
      </c>
      <c r="E710" s="397"/>
      <c r="F710" s="395"/>
      <c r="G710" s="39" t="s">
        <v>15</v>
      </c>
      <c r="H710" s="33">
        <v>46091</v>
      </c>
      <c r="I710" s="376">
        <v>0.78212962962962962</v>
      </c>
      <c r="J710" s="371">
        <v>0.2084027777777778</v>
      </c>
      <c r="K710" s="372"/>
      <c r="L710" s="372"/>
      <c r="M710" s="373">
        <v>2</v>
      </c>
      <c r="N710" s="374"/>
      <c r="O710" s="374"/>
      <c r="P710" s="375"/>
      <c r="Q710" s="26"/>
      <c r="R710" s="26"/>
      <c r="S710" s="37"/>
    </row>
    <row r="711" spans="3:19" x14ac:dyDescent="0.2">
      <c r="C711" s="366">
        <v>21</v>
      </c>
      <c r="D711" s="396" t="s">
        <v>45</v>
      </c>
      <c r="E711" s="397"/>
      <c r="F711" s="395"/>
      <c r="G711" s="39" t="s">
        <v>16</v>
      </c>
      <c r="H711" s="33">
        <v>46092</v>
      </c>
      <c r="I711" s="377">
        <v>0.78570601851851851</v>
      </c>
      <c r="J711" s="371">
        <v>0.12665509259259258</v>
      </c>
      <c r="K711" s="372"/>
      <c r="L711" s="372"/>
      <c r="M711" s="373"/>
      <c r="N711" s="374"/>
      <c r="O711" s="374"/>
      <c r="P711" s="375"/>
      <c r="Q711" s="26"/>
      <c r="R711" s="26"/>
      <c r="S711" s="37"/>
    </row>
    <row r="712" spans="3:19" x14ac:dyDescent="0.2">
      <c r="C712" s="366">
        <v>21</v>
      </c>
      <c r="D712" s="396" t="s">
        <v>45</v>
      </c>
      <c r="E712" s="397"/>
      <c r="F712" s="395"/>
      <c r="G712" s="39" t="s">
        <v>17</v>
      </c>
      <c r="H712" s="33">
        <v>46093</v>
      </c>
      <c r="I712" s="377">
        <v>0.70180555555555557</v>
      </c>
      <c r="J712" s="371">
        <v>5.2210648148148152E-2</v>
      </c>
      <c r="K712" s="372"/>
      <c r="L712" s="372"/>
      <c r="M712" s="373"/>
      <c r="N712" s="374"/>
      <c r="O712" s="374"/>
      <c r="P712" s="375"/>
      <c r="Q712" s="26"/>
      <c r="R712" s="26"/>
      <c r="S712" s="37"/>
    </row>
    <row r="713" spans="3:19" x14ac:dyDescent="0.2">
      <c r="C713" s="366">
        <v>21</v>
      </c>
      <c r="D713" s="396" t="s">
        <v>45</v>
      </c>
      <c r="E713" s="397"/>
      <c r="F713" s="395"/>
      <c r="G713" s="48" t="s">
        <v>18</v>
      </c>
      <c r="H713" s="33">
        <v>46094</v>
      </c>
      <c r="I713" s="376">
        <v>0.70218749999999996</v>
      </c>
      <c r="J713" s="371">
        <v>5.2118055555555563E-2</v>
      </c>
      <c r="K713" s="372"/>
      <c r="L713" s="372"/>
      <c r="M713" s="373"/>
      <c r="N713" s="374"/>
      <c r="O713" s="374"/>
      <c r="P713" s="375"/>
      <c r="Q713" s="26"/>
      <c r="R713" s="26"/>
      <c r="S713" s="37"/>
    </row>
    <row r="714" spans="3:19" x14ac:dyDescent="0.2">
      <c r="C714" s="366">
        <v>21</v>
      </c>
      <c r="D714" s="396" t="s">
        <v>45</v>
      </c>
      <c r="E714" s="397"/>
      <c r="F714" s="395"/>
      <c r="G714" s="39" t="s">
        <v>19</v>
      </c>
      <c r="H714" s="33">
        <v>46095</v>
      </c>
      <c r="I714" s="377"/>
      <c r="J714" s="371"/>
      <c r="K714" s="372"/>
      <c r="L714" s="372"/>
      <c r="M714" s="373"/>
      <c r="N714" s="374"/>
      <c r="O714" s="374"/>
      <c r="P714" s="375"/>
      <c r="Q714" s="26"/>
      <c r="R714" s="26"/>
      <c r="S714" s="37"/>
    </row>
    <row r="715" spans="3:19" x14ac:dyDescent="0.2">
      <c r="C715" s="366">
        <v>21</v>
      </c>
      <c r="D715" s="396" t="s">
        <v>45</v>
      </c>
      <c r="E715" s="397"/>
      <c r="F715" s="395"/>
      <c r="G715" s="46" t="s">
        <v>13</v>
      </c>
      <c r="H715" s="33">
        <v>46096</v>
      </c>
      <c r="I715" s="377"/>
      <c r="J715" s="371"/>
      <c r="K715" s="372"/>
      <c r="L715" s="372"/>
      <c r="M715" s="373"/>
      <c r="N715" s="374"/>
      <c r="O715" s="374"/>
      <c r="P715" s="44"/>
      <c r="Q715" s="26"/>
      <c r="R715" s="26"/>
      <c r="S715" s="37"/>
    </row>
    <row r="716" spans="3:19" x14ac:dyDescent="0.2">
      <c r="C716" s="366">
        <v>21</v>
      </c>
      <c r="D716" s="396" t="s">
        <v>45</v>
      </c>
      <c r="E716" s="397"/>
      <c r="F716" s="395"/>
      <c r="G716" s="39" t="s">
        <v>14</v>
      </c>
      <c r="H716" s="33">
        <v>46097</v>
      </c>
      <c r="I716" s="370"/>
      <c r="J716" s="371"/>
      <c r="K716" s="372"/>
      <c r="L716" s="372"/>
      <c r="M716" s="373"/>
      <c r="N716" s="374"/>
      <c r="O716" s="374"/>
      <c r="P716" s="375"/>
      <c r="Q716" s="26"/>
      <c r="R716" s="26"/>
      <c r="S716" s="37"/>
    </row>
    <row r="717" spans="3:19" x14ac:dyDescent="0.2">
      <c r="C717" s="366">
        <v>21</v>
      </c>
      <c r="D717" s="396" t="s">
        <v>45</v>
      </c>
      <c r="E717" s="397"/>
      <c r="F717" s="395"/>
      <c r="G717" s="39" t="s">
        <v>15</v>
      </c>
      <c r="H717" s="33">
        <v>46098</v>
      </c>
      <c r="I717" s="370"/>
      <c r="J717" s="371"/>
      <c r="K717" s="372"/>
      <c r="L717" s="372"/>
      <c r="M717" s="373"/>
      <c r="N717" s="374"/>
      <c r="O717" s="374"/>
      <c r="P717" s="375"/>
      <c r="Q717" s="26"/>
      <c r="R717" s="26"/>
      <c r="S717" s="37"/>
    </row>
    <row r="718" spans="3:19" x14ac:dyDescent="0.2">
      <c r="C718" s="366">
        <v>21</v>
      </c>
      <c r="D718" s="396" t="s">
        <v>45</v>
      </c>
      <c r="E718" s="397"/>
      <c r="F718" s="395"/>
      <c r="G718" s="39" t="s">
        <v>16</v>
      </c>
      <c r="H718" s="33">
        <v>46099</v>
      </c>
      <c r="I718" s="376"/>
      <c r="J718" s="371"/>
      <c r="K718" s="372"/>
      <c r="L718" s="372"/>
      <c r="M718" s="373"/>
      <c r="N718" s="374"/>
      <c r="O718" s="374"/>
      <c r="P718" s="375"/>
      <c r="Q718" s="26"/>
      <c r="R718" s="26"/>
      <c r="S718" s="37"/>
    </row>
    <row r="719" spans="3:19" x14ac:dyDescent="0.2">
      <c r="C719" s="366">
        <v>21</v>
      </c>
      <c r="D719" s="396" t="s">
        <v>45</v>
      </c>
      <c r="E719" s="397"/>
      <c r="F719" s="395"/>
      <c r="G719" s="39" t="s">
        <v>17</v>
      </c>
      <c r="H719" s="33">
        <v>46100</v>
      </c>
      <c r="I719" s="376"/>
      <c r="J719" s="371"/>
      <c r="K719" s="372"/>
      <c r="L719" s="372"/>
      <c r="M719" s="373"/>
      <c r="N719" s="374"/>
      <c r="O719" s="374"/>
      <c r="P719" s="375"/>
      <c r="Q719" s="26"/>
      <c r="R719" s="26"/>
      <c r="S719" s="37"/>
    </row>
    <row r="720" spans="3:19" x14ac:dyDescent="0.2">
      <c r="C720" s="366">
        <v>21</v>
      </c>
      <c r="D720" s="396" t="s">
        <v>45</v>
      </c>
      <c r="E720" s="397"/>
      <c r="F720" s="395"/>
      <c r="G720" s="39" t="s">
        <v>18</v>
      </c>
      <c r="H720" s="33">
        <v>46101</v>
      </c>
      <c r="I720" s="377"/>
      <c r="J720" s="371"/>
      <c r="K720" s="372"/>
      <c r="L720" s="372"/>
      <c r="M720" s="373"/>
      <c r="N720" s="374"/>
      <c r="O720" s="374"/>
      <c r="P720" s="375"/>
      <c r="Q720" s="26"/>
      <c r="R720" s="26"/>
      <c r="S720" s="37"/>
    </row>
    <row r="721" spans="3:19" x14ac:dyDescent="0.2">
      <c r="C721" s="366">
        <v>21</v>
      </c>
      <c r="D721" s="396" t="s">
        <v>45</v>
      </c>
      <c r="E721" s="397"/>
      <c r="F721" s="395"/>
      <c r="G721" s="39" t="s">
        <v>19</v>
      </c>
      <c r="H721" s="33">
        <v>46102</v>
      </c>
      <c r="I721" s="377"/>
      <c r="J721" s="371"/>
      <c r="K721" s="372"/>
      <c r="L721" s="372"/>
      <c r="M721" s="373"/>
      <c r="N721" s="374"/>
      <c r="O721" s="374"/>
      <c r="P721" s="375"/>
      <c r="Q721" s="26"/>
      <c r="R721" s="26"/>
      <c r="S721" s="37"/>
    </row>
    <row r="722" spans="3:19" x14ac:dyDescent="0.2">
      <c r="C722" s="366">
        <v>21</v>
      </c>
      <c r="D722" s="396" t="s">
        <v>45</v>
      </c>
      <c r="E722" s="397"/>
      <c r="F722" s="395"/>
      <c r="G722" s="46" t="s">
        <v>13</v>
      </c>
      <c r="H722" s="33">
        <v>46103</v>
      </c>
      <c r="I722" s="377"/>
      <c r="J722" s="371"/>
      <c r="K722" s="372"/>
      <c r="L722" s="372"/>
      <c r="M722" s="373"/>
      <c r="N722" s="374"/>
      <c r="O722" s="374"/>
      <c r="P722" s="375"/>
      <c r="Q722" s="26"/>
      <c r="R722" s="26"/>
      <c r="S722" s="37"/>
    </row>
    <row r="723" spans="3:19" x14ac:dyDescent="0.2">
      <c r="C723" s="366">
        <v>21</v>
      </c>
      <c r="D723" s="396" t="s">
        <v>45</v>
      </c>
      <c r="E723" s="398"/>
      <c r="F723" s="369"/>
      <c r="G723" s="39" t="s">
        <v>14</v>
      </c>
      <c r="H723" s="33">
        <v>46104</v>
      </c>
      <c r="I723" s="376"/>
      <c r="J723" s="371"/>
      <c r="K723" s="372"/>
      <c r="L723" s="372"/>
      <c r="M723" s="373"/>
      <c r="N723" s="374"/>
      <c r="O723" s="374"/>
      <c r="P723" s="375"/>
      <c r="Q723" s="26"/>
      <c r="R723" s="26"/>
      <c r="S723" s="37"/>
    </row>
    <row r="724" spans="3:19" x14ac:dyDescent="0.2">
      <c r="C724" s="366">
        <v>21</v>
      </c>
      <c r="D724" s="396" t="s">
        <v>45</v>
      </c>
      <c r="E724" s="398"/>
      <c r="F724" s="369"/>
      <c r="G724" s="39" t="s">
        <v>15</v>
      </c>
      <c r="H724" s="33">
        <v>46105</v>
      </c>
      <c r="I724" s="377"/>
      <c r="J724" s="371"/>
      <c r="K724" s="372"/>
      <c r="L724" s="372"/>
      <c r="M724" s="373"/>
      <c r="N724" s="374"/>
      <c r="O724" s="374"/>
      <c r="P724" s="375"/>
      <c r="Q724" s="26"/>
      <c r="R724" s="26"/>
      <c r="S724" s="37"/>
    </row>
    <row r="725" spans="3:19" x14ac:dyDescent="0.2">
      <c r="C725" s="366">
        <v>21</v>
      </c>
      <c r="D725" s="396" t="s">
        <v>45</v>
      </c>
      <c r="E725" s="398"/>
      <c r="F725" s="369"/>
      <c r="G725" s="39" t="s">
        <v>16</v>
      </c>
      <c r="H725" s="33">
        <v>46106</v>
      </c>
      <c r="I725" s="377"/>
      <c r="J725" s="371"/>
      <c r="K725" s="372"/>
      <c r="L725" s="372"/>
      <c r="M725" s="373"/>
      <c r="N725" s="374"/>
      <c r="O725" s="374"/>
      <c r="P725" s="375"/>
      <c r="Q725" s="26"/>
      <c r="R725" s="26"/>
      <c r="S725" s="37"/>
    </row>
    <row r="726" spans="3:19" x14ac:dyDescent="0.2">
      <c r="C726" s="366">
        <v>21</v>
      </c>
      <c r="D726" s="396" t="s">
        <v>45</v>
      </c>
      <c r="E726" s="398"/>
      <c r="F726" s="369"/>
      <c r="G726" s="39" t="s">
        <v>17</v>
      </c>
      <c r="H726" s="33">
        <v>46107</v>
      </c>
      <c r="I726" s="376"/>
      <c r="J726" s="371"/>
      <c r="K726" s="372"/>
      <c r="L726" s="372"/>
      <c r="M726" s="373"/>
      <c r="N726" s="374"/>
      <c r="O726" s="374"/>
      <c r="P726" s="375"/>
      <c r="Q726" s="26"/>
      <c r="R726" s="26"/>
      <c r="S726" s="37"/>
    </row>
    <row r="727" spans="3:19" x14ac:dyDescent="0.2">
      <c r="C727" s="366">
        <v>21</v>
      </c>
      <c r="D727" s="396" t="s">
        <v>45</v>
      </c>
      <c r="E727" s="398"/>
      <c r="F727" s="369"/>
      <c r="G727" s="39" t="s">
        <v>18</v>
      </c>
      <c r="H727" s="33">
        <v>46108</v>
      </c>
      <c r="I727" s="377"/>
      <c r="J727" s="371"/>
      <c r="K727" s="372"/>
      <c r="L727" s="372"/>
      <c r="M727" s="373"/>
      <c r="N727" s="374"/>
      <c r="O727" s="374"/>
      <c r="P727" s="375"/>
      <c r="Q727" s="26"/>
      <c r="R727" s="26"/>
      <c r="S727" s="37"/>
    </row>
    <row r="728" spans="3:19" x14ac:dyDescent="0.2">
      <c r="C728" s="366">
        <v>21</v>
      </c>
      <c r="D728" s="396" t="s">
        <v>45</v>
      </c>
      <c r="E728" s="398"/>
      <c r="F728" s="369"/>
      <c r="G728" s="39" t="s">
        <v>19</v>
      </c>
      <c r="H728" s="33">
        <v>46109</v>
      </c>
      <c r="I728" s="377"/>
      <c r="J728" s="371"/>
      <c r="K728" s="372"/>
      <c r="L728" s="372"/>
      <c r="M728" s="373"/>
      <c r="N728" s="374"/>
      <c r="O728" s="374"/>
      <c r="P728" s="375"/>
      <c r="Q728" s="26"/>
      <c r="R728" s="26"/>
      <c r="S728" s="37"/>
    </row>
    <row r="729" spans="3:19" x14ac:dyDescent="0.2">
      <c r="C729" s="366">
        <v>21</v>
      </c>
      <c r="D729" s="396" t="s">
        <v>45</v>
      </c>
      <c r="E729" s="398"/>
      <c r="F729" s="369"/>
      <c r="G729" s="46" t="s">
        <v>13</v>
      </c>
      <c r="H729" s="33">
        <v>46110</v>
      </c>
      <c r="I729" s="377"/>
      <c r="J729" s="371"/>
      <c r="K729" s="372"/>
      <c r="L729" s="372"/>
      <c r="M729" s="373"/>
      <c r="N729" s="374"/>
      <c r="O729" s="374"/>
      <c r="P729" s="375"/>
      <c r="Q729" s="26"/>
      <c r="R729" s="26"/>
      <c r="S729" s="37"/>
    </row>
    <row r="730" spans="3:19" x14ac:dyDescent="0.2">
      <c r="C730" s="366">
        <v>21</v>
      </c>
      <c r="D730" s="396" t="s">
        <v>45</v>
      </c>
      <c r="E730" s="398"/>
      <c r="F730" s="369"/>
      <c r="G730" s="39" t="s">
        <v>14</v>
      </c>
      <c r="H730" s="33">
        <v>46111</v>
      </c>
      <c r="I730" s="377"/>
      <c r="J730" s="371"/>
      <c r="K730" s="372"/>
      <c r="L730" s="372"/>
      <c r="M730" s="373"/>
      <c r="N730" s="374"/>
      <c r="O730" s="374"/>
      <c r="P730" s="375"/>
      <c r="Q730" s="26"/>
      <c r="R730" s="26"/>
      <c r="S730" s="37"/>
    </row>
    <row r="731" spans="3:19" x14ac:dyDescent="0.2">
      <c r="C731" s="366">
        <v>21</v>
      </c>
      <c r="D731" s="396" t="s">
        <v>45</v>
      </c>
      <c r="E731" s="398"/>
      <c r="F731" s="369"/>
      <c r="G731" s="39" t="s">
        <v>15</v>
      </c>
      <c r="H731" s="33">
        <v>46112</v>
      </c>
      <c r="I731" s="377"/>
      <c r="J731" s="371"/>
      <c r="K731" s="372"/>
      <c r="L731" s="372"/>
      <c r="M731" s="373"/>
      <c r="N731" s="374"/>
      <c r="O731" s="374"/>
      <c r="P731" s="375"/>
      <c r="Q731" s="26"/>
      <c r="R731" s="26"/>
      <c r="S731" s="37"/>
    </row>
    <row r="732" spans="3:19" x14ac:dyDescent="0.2">
      <c r="C732" s="366"/>
      <c r="D732" s="396"/>
      <c r="E732" s="398"/>
      <c r="F732" s="369"/>
      <c r="G732" s="39"/>
      <c r="H732" s="33"/>
      <c r="I732" s="371"/>
      <c r="J732" s="371"/>
      <c r="K732" s="399"/>
      <c r="L732" s="399"/>
      <c r="M732" s="400"/>
      <c r="N732" s="401"/>
      <c r="O732" s="374"/>
      <c r="P732" s="375"/>
      <c r="Q732" s="26"/>
      <c r="R732" s="26"/>
      <c r="S732" s="37"/>
    </row>
    <row r="733" spans="3:19" x14ac:dyDescent="0.2">
      <c r="C733" s="366"/>
      <c r="D733" s="396"/>
      <c r="E733" s="398"/>
      <c r="F733" s="369"/>
      <c r="G733" s="39"/>
      <c r="H733" s="33"/>
      <c r="I733" s="371"/>
      <c r="J733" s="371"/>
      <c r="K733" s="399"/>
      <c r="L733" s="399"/>
      <c r="M733" s="400"/>
      <c r="N733" s="401"/>
      <c r="O733" s="374"/>
      <c r="P733" s="375"/>
      <c r="Q733" s="26"/>
      <c r="R733" s="26"/>
      <c r="S733" s="37"/>
    </row>
    <row r="734" spans="3:19" x14ac:dyDescent="0.2">
      <c r="C734" s="388"/>
      <c r="D734" s="402"/>
      <c r="E734" s="390"/>
      <c r="F734" s="390"/>
      <c r="G734" s="391"/>
      <c r="H734" s="392"/>
      <c r="I734" s="383" t="str">
        <f>D704</f>
        <v>SAEFUL ROHMAN</v>
      </c>
      <c r="J734" s="384" t="s">
        <v>20</v>
      </c>
      <c r="K734" s="385"/>
      <c r="L734" s="385"/>
      <c r="M734" s="393">
        <f>SUM(M701:M733)</f>
        <v>8</v>
      </c>
      <c r="N734" s="393">
        <f t="shared" ref="N734:O734" si="15">SUM(N701:N733)</f>
        <v>0</v>
      </c>
      <c r="O734" s="393">
        <f t="shared" si="15"/>
        <v>1</v>
      </c>
      <c r="P734" s="375"/>
      <c r="Q734" s="26"/>
      <c r="R734" s="26"/>
      <c r="S734" s="37"/>
    </row>
    <row r="735" spans="3:19" x14ac:dyDescent="0.2">
      <c r="C735" s="58"/>
      <c r="D735" s="59"/>
      <c r="E735" s="60"/>
      <c r="F735" s="60"/>
      <c r="G735" s="61"/>
      <c r="H735" s="62"/>
      <c r="I735" s="63"/>
      <c r="J735" s="63"/>
      <c r="K735" s="62"/>
      <c r="L735" s="62"/>
      <c r="M735" s="62"/>
      <c r="N735" s="64"/>
      <c r="O735" s="64"/>
      <c r="P735" s="65"/>
      <c r="Q735" s="26"/>
      <c r="R735" s="26"/>
      <c r="S735" s="37"/>
    </row>
    <row r="736" spans="3:19" x14ac:dyDescent="0.2">
      <c r="C736" s="365" t="s">
        <v>1</v>
      </c>
      <c r="D736" s="67" t="s">
        <v>2</v>
      </c>
      <c r="E736" s="68" t="s">
        <v>3</v>
      </c>
      <c r="F736" s="68" t="s">
        <v>4</v>
      </c>
      <c r="G736" s="69" t="s">
        <v>5</v>
      </c>
      <c r="H736" s="68" t="s">
        <v>6</v>
      </c>
      <c r="I736" s="70" t="s">
        <v>7</v>
      </c>
      <c r="J736" s="70" t="s">
        <v>8</v>
      </c>
      <c r="K736" s="71"/>
      <c r="L736" s="72"/>
      <c r="M736" s="72" t="s">
        <v>9</v>
      </c>
      <c r="N736" s="73" t="s">
        <v>10</v>
      </c>
      <c r="O736" s="73" t="s">
        <v>11</v>
      </c>
      <c r="P736" s="198"/>
      <c r="Q736" s="26"/>
      <c r="R736" s="26"/>
      <c r="S736" s="37"/>
    </row>
    <row r="737" spans="3:19" x14ac:dyDescent="0.2">
      <c r="C737" s="366">
        <v>22</v>
      </c>
      <c r="D737" s="367" t="s">
        <v>46</v>
      </c>
      <c r="E737" s="368"/>
      <c r="F737" s="369"/>
      <c r="G737" s="32" t="s">
        <v>13</v>
      </c>
      <c r="H737" s="33">
        <v>46082</v>
      </c>
      <c r="I737" s="376">
        <v>0.33118055555555553</v>
      </c>
      <c r="J737" s="371" t="s">
        <v>47</v>
      </c>
      <c r="K737" s="372"/>
      <c r="L737" s="372"/>
      <c r="M737" s="373"/>
      <c r="N737" s="374"/>
      <c r="O737" s="374">
        <v>1</v>
      </c>
      <c r="P737" s="375"/>
      <c r="Q737" s="26"/>
      <c r="R737" s="26"/>
      <c r="S737" s="37"/>
    </row>
    <row r="738" spans="3:19" x14ac:dyDescent="0.2">
      <c r="C738" s="366">
        <v>22</v>
      </c>
      <c r="D738" s="367" t="s">
        <v>46</v>
      </c>
      <c r="E738" s="368"/>
      <c r="F738" s="369"/>
      <c r="G738" s="29" t="s">
        <v>14</v>
      </c>
      <c r="H738" s="33">
        <v>46083</v>
      </c>
      <c r="I738" s="370">
        <v>0.33680555555555558</v>
      </c>
      <c r="J738" s="371"/>
      <c r="K738" s="372"/>
      <c r="L738" s="372"/>
      <c r="M738" s="373"/>
      <c r="N738" s="374"/>
      <c r="O738" s="374"/>
      <c r="P738" s="375"/>
      <c r="Q738" s="26"/>
      <c r="R738" s="26"/>
      <c r="S738" s="37"/>
    </row>
    <row r="739" spans="3:19" x14ac:dyDescent="0.2">
      <c r="C739" s="366">
        <v>22</v>
      </c>
      <c r="D739" s="367" t="s">
        <v>46</v>
      </c>
      <c r="E739" s="368"/>
      <c r="F739" s="369"/>
      <c r="G739" s="39" t="s">
        <v>15</v>
      </c>
      <c r="H739" s="33">
        <v>46084</v>
      </c>
      <c r="I739" s="377">
        <v>0.32981481481481484</v>
      </c>
      <c r="J739" s="371">
        <v>0.84548611111111116</v>
      </c>
      <c r="K739" s="372"/>
      <c r="L739" s="372"/>
      <c r="M739" s="373">
        <v>3</v>
      </c>
      <c r="N739" s="374"/>
      <c r="O739" s="374"/>
      <c r="P739" s="375"/>
      <c r="Q739" s="26"/>
      <c r="R739" s="26"/>
      <c r="S739" s="37"/>
    </row>
    <row r="740" spans="3:19" x14ac:dyDescent="0.2">
      <c r="C740" s="366">
        <v>22</v>
      </c>
      <c r="D740" s="367" t="s">
        <v>46</v>
      </c>
      <c r="E740" s="368"/>
      <c r="F740" s="369"/>
      <c r="G740" s="39" t="s">
        <v>16</v>
      </c>
      <c r="H740" s="33">
        <v>46085</v>
      </c>
      <c r="I740" s="377">
        <v>0.32886574074074076</v>
      </c>
      <c r="J740" s="371">
        <v>0.70974537037037033</v>
      </c>
      <c r="K740" s="372"/>
      <c r="L740" s="372"/>
      <c r="M740" s="373"/>
      <c r="N740" s="374"/>
      <c r="O740" s="374"/>
      <c r="P740" s="375"/>
      <c r="Q740" s="26"/>
      <c r="R740" s="26"/>
      <c r="S740" s="37"/>
    </row>
    <row r="741" spans="3:19" x14ac:dyDescent="0.2">
      <c r="C741" s="366">
        <v>22</v>
      </c>
      <c r="D741" s="367" t="s">
        <v>46</v>
      </c>
      <c r="E741" s="368"/>
      <c r="F741" s="369"/>
      <c r="G741" s="39" t="s">
        <v>17</v>
      </c>
      <c r="H741" s="33">
        <v>46086</v>
      </c>
      <c r="I741" s="377">
        <v>0.33212962962962961</v>
      </c>
      <c r="J741" s="371">
        <v>0.84517361111111111</v>
      </c>
      <c r="K741" s="372"/>
      <c r="L741" s="372"/>
      <c r="M741" s="373">
        <v>3</v>
      </c>
      <c r="N741" s="374"/>
      <c r="O741" s="374"/>
      <c r="P741" s="375"/>
      <c r="Q741" s="26"/>
      <c r="R741" s="26"/>
      <c r="S741" s="37"/>
    </row>
    <row r="742" spans="3:19" x14ac:dyDescent="0.2">
      <c r="C742" s="366">
        <v>22</v>
      </c>
      <c r="D742" s="367" t="s">
        <v>46</v>
      </c>
      <c r="E742" s="368"/>
      <c r="F742" s="369"/>
      <c r="G742" s="45" t="s">
        <v>18</v>
      </c>
      <c r="H742" s="33">
        <v>46087</v>
      </c>
      <c r="I742" s="370">
        <v>0.33409722222222221</v>
      </c>
      <c r="J742" s="371"/>
      <c r="K742" s="372"/>
      <c r="L742" s="372"/>
      <c r="M742" s="373"/>
      <c r="N742" s="374"/>
      <c r="O742" s="374"/>
      <c r="P742" s="375"/>
      <c r="Q742" s="26"/>
      <c r="R742" s="26"/>
      <c r="S742" s="37"/>
    </row>
    <row r="743" spans="3:19" x14ac:dyDescent="0.2">
      <c r="C743" s="366">
        <v>22</v>
      </c>
      <c r="D743" s="367" t="s">
        <v>46</v>
      </c>
      <c r="E743" s="368"/>
      <c r="F743" s="369"/>
      <c r="G743" s="39" t="s">
        <v>19</v>
      </c>
      <c r="H743" s="33">
        <v>46088</v>
      </c>
      <c r="I743" s="377">
        <v>0.33409722222222221</v>
      </c>
      <c r="J743" s="371">
        <v>0.55378472222222219</v>
      </c>
      <c r="K743" s="372"/>
      <c r="L743" s="372"/>
      <c r="M743" s="373"/>
      <c r="N743" s="374"/>
      <c r="O743" s="374"/>
      <c r="P743" s="375"/>
      <c r="Q743" s="26"/>
      <c r="R743" s="26"/>
      <c r="S743" s="37"/>
    </row>
    <row r="744" spans="3:19" x14ac:dyDescent="0.25">
      <c r="C744" s="366">
        <v>22</v>
      </c>
      <c r="D744" s="367" t="s">
        <v>46</v>
      </c>
      <c r="E744" s="368"/>
      <c r="F744" s="369"/>
      <c r="G744" s="46" t="s">
        <v>13</v>
      </c>
      <c r="H744" s="33">
        <v>46089</v>
      </c>
      <c r="I744" s="376">
        <v>0.35401620370370374</v>
      </c>
      <c r="J744" s="5">
        <v>0.6667939814814815</v>
      </c>
      <c r="K744" s="372"/>
      <c r="L744" s="372"/>
      <c r="M744" s="373"/>
      <c r="N744" s="374"/>
      <c r="O744" s="374"/>
      <c r="P744" s="375"/>
      <c r="Q744" s="26"/>
      <c r="R744" s="26"/>
      <c r="S744" s="37"/>
    </row>
    <row r="745" spans="3:19" x14ac:dyDescent="0.25">
      <c r="C745" s="366">
        <v>22</v>
      </c>
      <c r="D745" s="367" t="s">
        <v>46</v>
      </c>
      <c r="E745" s="368"/>
      <c r="F745" s="369"/>
      <c r="G745" s="39" t="s">
        <v>14</v>
      </c>
      <c r="H745" s="33">
        <v>46090</v>
      </c>
      <c r="I745" s="5">
        <v>0.32953703703703702</v>
      </c>
      <c r="J745" s="377">
        <v>0.70907407407407408</v>
      </c>
      <c r="K745" s="372"/>
      <c r="L745" s="372"/>
      <c r="M745" s="373"/>
      <c r="N745" s="374"/>
      <c r="O745" s="374"/>
      <c r="P745" s="375"/>
      <c r="Q745" s="26"/>
      <c r="R745" s="26"/>
      <c r="S745" s="37"/>
    </row>
    <row r="746" spans="3:19" x14ac:dyDescent="0.2">
      <c r="C746" s="366">
        <v>22</v>
      </c>
      <c r="D746" s="367" t="s">
        <v>46</v>
      </c>
      <c r="E746" s="368"/>
      <c r="F746" s="369"/>
      <c r="G746" s="39" t="s">
        <v>15</v>
      </c>
      <c r="H746" s="33">
        <v>46091</v>
      </c>
      <c r="I746" s="376">
        <v>0.32861111111111113</v>
      </c>
      <c r="J746" s="371">
        <v>0.84687499999999993</v>
      </c>
      <c r="K746" s="372"/>
      <c r="L746" s="372"/>
      <c r="M746" s="373">
        <v>3</v>
      </c>
      <c r="N746" s="374"/>
      <c r="O746" s="374"/>
      <c r="P746" s="375"/>
      <c r="Q746" s="26"/>
      <c r="R746" s="26"/>
      <c r="S746" s="37"/>
    </row>
    <row r="747" spans="3:19" x14ac:dyDescent="0.2">
      <c r="C747" s="366">
        <v>22</v>
      </c>
      <c r="D747" s="367" t="s">
        <v>46</v>
      </c>
      <c r="E747" s="368"/>
      <c r="F747" s="369"/>
      <c r="G747" s="39" t="s">
        <v>16</v>
      </c>
      <c r="H747" s="33">
        <v>46092</v>
      </c>
      <c r="I747" s="377">
        <v>0.32949074074074075</v>
      </c>
      <c r="J747" s="371">
        <v>0.84590277777777778</v>
      </c>
      <c r="K747" s="372"/>
      <c r="L747" s="372"/>
      <c r="M747" s="373">
        <v>3</v>
      </c>
      <c r="N747" s="374"/>
      <c r="O747" s="374"/>
      <c r="P747" s="375"/>
      <c r="Q747" s="26"/>
      <c r="R747" s="26"/>
      <c r="S747" s="37"/>
    </row>
    <row r="748" spans="3:19" x14ac:dyDescent="0.2">
      <c r="C748" s="366">
        <v>22</v>
      </c>
      <c r="D748" s="367" t="s">
        <v>46</v>
      </c>
      <c r="E748" s="368"/>
      <c r="F748" s="369"/>
      <c r="G748" s="39" t="s">
        <v>17</v>
      </c>
      <c r="H748" s="33">
        <v>46093</v>
      </c>
      <c r="I748" s="377">
        <v>0.32869212962962963</v>
      </c>
      <c r="J748" s="371">
        <v>0.70930555555555552</v>
      </c>
      <c r="K748" s="372"/>
      <c r="L748" s="372"/>
      <c r="M748" s="373"/>
      <c r="N748" s="374"/>
      <c r="O748" s="374"/>
      <c r="P748" s="375"/>
      <c r="Q748" s="26"/>
      <c r="R748" s="26"/>
      <c r="S748" s="37"/>
    </row>
    <row r="749" spans="3:19" x14ac:dyDescent="0.2">
      <c r="C749" s="366">
        <v>22</v>
      </c>
      <c r="D749" s="367" t="s">
        <v>46</v>
      </c>
      <c r="E749" s="368"/>
      <c r="F749" s="369"/>
      <c r="G749" s="48" t="s">
        <v>18</v>
      </c>
      <c r="H749" s="33">
        <v>46094</v>
      </c>
      <c r="I749" s="376">
        <v>0.33148148148148149</v>
      </c>
      <c r="J749" s="371">
        <v>0.70854166666666663</v>
      </c>
      <c r="K749" s="372"/>
      <c r="L749" s="372"/>
      <c r="M749" s="373"/>
      <c r="N749" s="374"/>
      <c r="O749" s="374"/>
      <c r="P749" s="375"/>
      <c r="Q749" s="26"/>
      <c r="R749" s="26"/>
      <c r="S749" s="37"/>
    </row>
    <row r="750" spans="3:19" x14ac:dyDescent="0.2">
      <c r="C750" s="366">
        <v>22</v>
      </c>
      <c r="D750" s="367" t="s">
        <v>46</v>
      </c>
      <c r="E750" s="368"/>
      <c r="F750" s="369"/>
      <c r="G750" s="39" t="s">
        <v>19</v>
      </c>
      <c r="H750" s="33">
        <v>46095</v>
      </c>
      <c r="I750" s="377">
        <v>0.33023148148148146</v>
      </c>
      <c r="J750" s="371"/>
      <c r="K750" s="372"/>
      <c r="L750" s="372"/>
      <c r="M750" s="373"/>
      <c r="N750" s="374"/>
      <c r="O750" s="374"/>
      <c r="P750" s="375"/>
      <c r="Q750" s="26"/>
      <c r="R750" s="26"/>
      <c r="S750" s="37"/>
    </row>
    <row r="751" spans="3:19" x14ac:dyDescent="0.2">
      <c r="C751" s="366">
        <v>22</v>
      </c>
      <c r="D751" s="367" t="s">
        <v>46</v>
      </c>
      <c r="E751" s="368"/>
      <c r="F751" s="369"/>
      <c r="G751" s="46" t="s">
        <v>13</v>
      </c>
      <c r="H751" s="33">
        <v>46096</v>
      </c>
      <c r="I751" s="377"/>
      <c r="J751" s="371"/>
      <c r="K751" s="372"/>
      <c r="L751" s="372"/>
      <c r="M751" s="373"/>
      <c r="N751" s="374"/>
      <c r="O751" s="374"/>
      <c r="P751" s="44"/>
      <c r="Q751" s="26"/>
      <c r="R751" s="26"/>
      <c r="S751" s="37"/>
    </row>
    <row r="752" spans="3:19" x14ac:dyDescent="0.2">
      <c r="C752" s="366">
        <v>22</v>
      </c>
      <c r="D752" s="367" t="s">
        <v>46</v>
      </c>
      <c r="E752" s="368"/>
      <c r="F752" s="369"/>
      <c r="G752" s="39" t="s">
        <v>14</v>
      </c>
      <c r="H752" s="33">
        <v>46097</v>
      </c>
      <c r="I752" s="370"/>
      <c r="J752" s="371"/>
      <c r="K752" s="372"/>
      <c r="L752" s="372"/>
      <c r="M752" s="373"/>
      <c r="N752" s="374"/>
      <c r="O752" s="374"/>
      <c r="P752" s="375"/>
      <c r="Q752" s="26"/>
      <c r="R752" s="26"/>
      <c r="S752" s="37"/>
    </row>
    <row r="753" spans="3:19" x14ac:dyDescent="0.2">
      <c r="C753" s="366">
        <v>22</v>
      </c>
      <c r="D753" s="367" t="s">
        <v>46</v>
      </c>
      <c r="E753" s="368"/>
      <c r="F753" s="369"/>
      <c r="G753" s="39" t="s">
        <v>15</v>
      </c>
      <c r="H753" s="33">
        <v>46098</v>
      </c>
      <c r="I753" s="370"/>
      <c r="J753" s="371"/>
      <c r="K753" s="372"/>
      <c r="L753" s="372"/>
      <c r="M753" s="373"/>
      <c r="N753" s="374"/>
      <c r="O753" s="374"/>
      <c r="P753" s="375"/>
      <c r="Q753" s="26"/>
      <c r="R753" s="26"/>
      <c r="S753" s="37"/>
    </row>
    <row r="754" spans="3:19" x14ac:dyDescent="0.2">
      <c r="C754" s="366">
        <v>22</v>
      </c>
      <c r="D754" s="367" t="s">
        <v>46</v>
      </c>
      <c r="E754" s="368"/>
      <c r="F754" s="369"/>
      <c r="G754" s="39" t="s">
        <v>16</v>
      </c>
      <c r="H754" s="33">
        <v>46099</v>
      </c>
      <c r="I754" s="376"/>
      <c r="J754" s="371"/>
      <c r="K754" s="372"/>
      <c r="L754" s="372"/>
      <c r="M754" s="373"/>
      <c r="N754" s="374"/>
      <c r="O754" s="374"/>
      <c r="P754" s="375"/>
      <c r="Q754" s="26"/>
      <c r="R754" s="26"/>
      <c r="S754" s="37"/>
    </row>
    <row r="755" spans="3:19" x14ac:dyDescent="0.2">
      <c r="C755" s="366">
        <v>22</v>
      </c>
      <c r="D755" s="367" t="s">
        <v>46</v>
      </c>
      <c r="E755" s="368"/>
      <c r="F755" s="369"/>
      <c r="G755" s="39" t="s">
        <v>17</v>
      </c>
      <c r="H755" s="33">
        <v>46100</v>
      </c>
      <c r="I755" s="376"/>
      <c r="J755" s="371"/>
      <c r="K755" s="372"/>
      <c r="L755" s="372"/>
      <c r="M755" s="373"/>
      <c r="N755" s="374"/>
      <c r="O755" s="374"/>
      <c r="P755" s="375"/>
      <c r="Q755" s="26"/>
      <c r="R755" s="26"/>
      <c r="S755" s="37"/>
    </row>
    <row r="756" spans="3:19" x14ac:dyDescent="0.2">
      <c r="C756" s="366">
        <v>22</v>
      </c>
      <c r="D756" s="367" t="s">
        <v>46</v>
      </c>
      <c r="E756" s="368"/>
      <c r="F756" s="369"/>
      <c r="G756" s="39" t="s">
        <v>18</v>
      </c>
      <c r="H756" s="33">
        <v>46101</v>
      </c>
      <c r="I756" s="377"/>
      <c r="J756" s="371"/>
      <c r="K756" s="372"/>
      <c r="L756" s="372"/>
      <c r="M756" s="373"/>
      <c r="N756" s="374"/>
      <c r="O756" s="374"/>
      <c r="P756" s="375"/>
      <c r="Q756" s="26"/>
      <c r="R756" s="26"/>
      <c r="S756" s="37"/>
    </row>
    <row r="757" spans="3:19" x14ac:dyDescent="0.2">
      <c r="C757" s="366">
        <v>22</v>
      </c>
      <c r="D757" s="367" t="s">
        <v>46</v>
      </c>
      <c r="E757" s="368"/>
      <c r="F757" s="369"/>
      <c r="G757" s="39" t="s">
        <v>19</v>
      </c>
      <c r="H757" s="33">
        <v>46102</v>
      </c>
      <c r="I757" s="377"/>
      <c r="J757" s="371"/>
      <c r="K757" s="372"/>
      <c r="L757" s="372"/>
      <c r="M757" s="373"/>
      <c r="N757" s="374"/>
      <c r="O757" s="374"/>
      <c r="P757" s="375"/>
      <c r="Q757" s="26"/>
      <c r="R757" s="26"/>
      <c r="S757" s="37"/>
    </row>
    <row r="758" spans="3:19" x14ac:dyDescent="0.2">
      <c r="C758" s="366">
        <v>22</v>
      </c>
      <c r="D758" s="367" t="s">
        <v>46</v>
      </c>
      <c r="E758" s="368"/>
      <c r="F758" s="369"/>
      <c r="G758" s="46" t="s">
        <v>13</v>
      </c>
      <c r="H758" s="33">
        <v>46103</v>
      </c>
      <c r="I758" s="377"/>
      <c r="J758" s="371"/>
      <c r="K758" s="372"/>
      <c r="L758" s="372"/>
      <c r="M758" s="373"/>
      <c r="N758" s="374"/>
      <c r="O758" s="374"/>
      <c r="P758" s="375"/>
      <c r="Q758" s="26"/>
      <c r="R758" s="26"/>
      <c r="S758" s="37"/>
    </row>
    <row r="759" spans="3:19" x14ac:dyDescent="0.2">
      <c r="C759" s="366">
        <v>22</v>
      </c>
      <c r="D759" s="367" t="s">
        <v>46</v>
      </c>
      <c r="E759" s="368"/>
      <c r="F759" s="369"/>
      <c r="G759" s="39" t="s">
        <v>14</v>
      </c>
      <c r="H759" s="33">
        <v>46104</v>
      </c>
      <c r="I759" s="376"/>
      <c r="J759" s="371"/>
      <c r="K759" s="372"/>
      <c r="L759" s="372"/>
      <c r="M759" s="373"/>
      <c r="N759" s="374"/>
      <c r="O759" s="374"/>
      <c r="P759" s="375"/>
      <c r="Q759" s="26"/>
      <c r="R759" s="26"/>
      <c r="S759" s="37"/>
    </row>
    <row r="760" spans="3:19" x14ac:dyDescent="0.2">
      <c r="C760" s="366">
        <v>22</v>
      </c>
      <c r="D760" s="367" t="s">
        <v>46</v>
      </c>
      <c r="E760" s="368"/>
      <c r="F760" s="369"/>
      <c r="G760" s="39" t="s">
        <v>15</v>
      </c>
      <c r="H760" s="33">
        <v>46105</v>
      </c>
      <c r="I760" s="377"/>
      <c r="J760" s="371"/>
      <c r="K760" s="372"/>
      <c r="L760" s="372"/>
      <c r="M760" s="373"/>
      <c r="N760" s="374"/>
      <c r="O760" s="374"/>
      <c r="P760" s="375"/>
      <c r="Q760" s="26"/>
      <c r="R760" s="26"/>
      <c r="S760" s="37"/>
    </row>
    <row r="761" spans="3:19" x14ac:dyDescent="0.2">
      <c r="C761" s="366">
        <v>22</v>
      </c>
      <c r="D761" s="367" t="s">
        <v>46</v>
      </c>
      <c r="E761" s="368"/>
      <c r="F761" s="369"/>
      <c r="G761" s="39" t="s">
        <v>16</v>
      </c>
      <c r="H761" s="33">
        <v>46106</v>
      </c>
      <c r="I761" s="377"/>
      <c r="J761" s="371"/>
      <c r="K761" s="372"/>
      <c r="L761" s="372"/>
      <c r="M761" s="373"/>
      <c r="N761" s="374"/>
      <c r="O761" s="374"/>
      <c r="P761" s="375"/>
      <c r="Q761" s="26"/>
      <c r="R761" s="26"/>
      <c r="S761" s="37"/>
    </row>
    <row r="762" spans="3:19" x14ac:dyDescent="0.2">
      <c r="C762" s="366">
        <v>22</v>
      </c>
      <c r="D762" s="367" t="s">
        <v>46</v>
      </c>
      <c r="E762" s="368"/>
      <c r="F762" s="369"/>
      <c r="G762" s="39" t="s">
        <v>17</v>
      </c>
      <c r="H762" s="33">
        <v>46107</v>
      </c>
      <c r="I762" s="376"/>
      <c r="J762" s="371"/>
      <c r="K762" s="372"/>
      <c r="L762" s="372"/>
      <c r="M762" s="373"/>
      <c r="N762" s="374"/>
      <c r="O762" s="374"/>
      <c r="P762" s="375"/>
      <c r="Q762" s="26"/>
      <c r="R762" s="26"/>
      <c r="S762" s="37"/>
    </row>
    <row r="763" spans="3:19" x14ac:dyDescent="0.2">
      <c r="C763" s="366">
        <v>22</v>
      </c>
      <c r="D763" s="367" t="s">
        <v>46</v>
      </c>
      <c r="E763" s="368"/>
      <c r="F763" s="369"/>
      <c r="G763" s="39" t="s">
        <v>18</v>
      </c>
      <c r="H763" s="33">
        <v>46108</v>
      </c>
      <c r="I763" s="377"/>
      <c r="J763" s="371"/>
      <c r="K763" s="372"/>
      <c r="L763" s="372"/>
      <c r="M763" s="373"/>
      <c r="N763" s="374"/>
      <c r="O763" s="374"/>
      <c r="P763" s="375"/>
      <c r="Q763" s="26"/>
      <c r="R763" s="26"/>
      <c r="S763" s="37"/>
    </row>
    <row r="764" spans="3:19" x14ac:dyDescent="0.2">
      <c r="C764" s="366">
        <v>22</v>
      </c>
      <c r="D764" s="367" t="s">
        <v>46</v>
      </c>
      <c r="E764" s="368"/>
      <c r="F764" s="369"/>
      <c r="G764" s="39" t="s">
        <v>19</v>
      </c>
      <c r="H764" s="33">
        <v>46109</v>
      </c>
      <c r="I764" s="377"/>
      <c r="J764" s="371"/>
      <c r="K764" s="372"/>
      <c r="L764" s="372"/>
      <c r="M764" s="373"/>
      <c r="N764" s="374"/>
      <c r="O764" s="374"/>
      <c r="P764" s="375"/>
      <c r="Q764" s="26"/>
      <c r="R764" s="26"/>
      <c r="S764" s="37"/>
    </row>
    <row r="765" spans="3:19" x14ac:dyDescent="0.2">
      <c r="C765" s="366">
        <v>22</v>
      </c>
      <c r="D765" s="367" t="s">
        <v>46</v>
      </c>
      <c r="E765" s="368"/>
      <c r="F765" s="369"/>
      <c r="G765" s="46" t="s">
        <v>13</v>
      </c>
      <c r="H765" s="33">
        <v>46110</v>
      </c>
      <c r="I765" s="377"/>
      <c r="J765" s="371"/>
      <c r="K765" s="372"/>
      <c r="L765" s="372"/>
      <c r="M765" s="373"/>
      <c r="N765" s="374"/>
      <c r="O765" s="374"/>
      <c r="P765" s="375"/>
      <c r="Q765" s="26"/>
      <c r="R765" s="26"/>
      <c r="S765" s="37"/>
    </row>
    <row r="766" spans="3:19" x14ac:dyDescent="0.2">
      <c r="C766" s="366">
        <v>22</v>
      </c>
      <c r="D766" s="367" t="s">
        <v>46</v>
      </c>
      <c r="E766" s="368"/>
      <c r="F766" s="369"/>
      <c r="G766" s="39" t="s">
        <v>14</v>
      </c>
      <c r="H766" s="33">
        <v>46111</v>
      </c>
      <c r="I766" s="377"/>
      <c r="J766" s="371"/>
      <c r="K766" s="372"/>
      <c r="L766" s="372"/>
      <c r="M766" s="373"/>
      <c r="N766" s="374"/>
      <c r="O766" s="374"/>
      <c r="P766" s="375"/>
      <c r="Q766" s="26"/>
      <c r="R766" s="26"/>
      <c r="S766" s="37"/>
    </row>
    <row r="767" spans="3:19" x14ac:dyDescent="0.2">
      <c r="C767" s="366">
        <v>22</v>
      </c>
      <c r="D767" s="367" t="s">
        <v>46</v>
      </c>
      <c r="E767" s="368"/>
      <c r="F767" s="369"/>
      <c r="G767" s="39" t="s">
        <v>15</v>
      </c>
      <c r="H767" s="33">
        <v>46112</v>
      </c>
      <c r="I767" s="377"/>
      <c r="J767" s="371"/>
      <c r="K767" s="372"/>
      <c r="L767" s="372"/>
      <c r="M767" s="373"/>
      <c r="N767" s="374"/>
      <c r="O767" s="374"/>
      <c r="P767" s="375"/>
      <c r="Q767" s="26"/>
      <c r="R767" s="26"/>
      <c r="S767" s="37"/>
    </row>
    <row r="768" spans="3:19" x14ac:dyDescent="0.2">
      <c r="C768" s="388"/>
      <c r="D768" s="389"/>
      <c r="E768" s="390"/>
      <c r="F768" s="390"/>
      <c r="G768" s="391"/>
      <c r="H768" s="392"/>
      <c r="I768" s="383" t="str">
        <f>D740</f>
        <v>UJANG WAHYUDIN</v>
      </c>
      <c r="J768" s="384" t="s">
        <v>20</v>
      </c>
      <c r="K768" s="385"/>
      <c r="L768" s="385"/>
      <c r="M768" s="403">
        <f>SUM(M737:M767)</f>
        <v>12</v>
      </c>
      <c r="N768" s="403">
        <f t="shared" ref="N768:O768" si="16">SUM(N737:N767)</f>
        <v>0</v>
      </c>
      <c r="O768" s="403">
        <f t="shared" si="16"/>
        <v>1</v>
      </c>
      <c r="P768" s="375"/>
      <c r="Q768" s="26"/>
      <c r="R768" s="26"/>
      <c r="S768" s="37"/>
    </row>
    <row r="769" spans="3:19" x14ac:dyDescent="0.2">
      <c r="C769" s="404"/>
      <c r="D769" s="405"/>
      <c r="E769" s="406"/>
      <c r="F769" s="406"/>
      <c r="G769" s="407"/>
      <c r="H769" s="408"/>
      <c r="I769" s="409"/>
      <c r="J769" s="409"/>
      <c r="K769" s="408"/>
      <c r="L769" s="408"/>
      <c r="M769" s="408"/>
      <c r="N769" s="410"/>
      <c r="O769" s="410"/>
      <c r="P769" s="411"/>
      <c r="Q769" s="26"/>
      <c r="R769" s="26"/>
      <c r="S769" s="37"/>
    </row>
    <row r="770" spans="3:19" x14ac:dyDescent="0.2">
      <c r="C770" s="58"/>
      <c r="D770" s="59"/>
      <c r="E770" s="60"/>
      <c r="F770" s="60"/>
      <c r="G770" s="61"/>
      <c r="H770" s="62"/>
      <c r="I770" s="63"/>
      <c r="J770" s="63"/>
      <c r="K770" s="62"/>
      <c r="L770" s="62"/>
      <c r="M770" s="62"/>
      <c r="N770" s="64"/>
      <c r="O770" s="64"/>
      <c r="P770" s="65"/>
      <c r="Q770" s="26"/>
      <c r="R770" s="26"/>
      <c r="S770" s="37"/>
    </row>
    <row r="771" spans="3:19" x14ac:dyDescent="0.2">
      <c r="C771" s="365" t="s">
        <v>1</v>
      </c>
      <c r="D771" s="67" t="s">
        <v>2</v>
      </c>
      <c r="E771" s="68" t="s">
        <v>3</v>
      </c>
      <c r="F771" s="68" t="s">
        <v>4</v>
      </c>
      <c r="G771" s="69" t="s">
        <v>5</v>
      </c>
      <c r="H771" s="68" t="s">
        <v>6</v>
      </c>
      <c r="I771" s="70" t="s">
        <v>7</v>
      </c>
      <c r="J771" s="70" t="s">
        <v>8</v>
      </c>
      <c r="K771" s="71"/>
      <c r="L771" s="72"/>
      <c r="M771" s="72" t="s">
        <v>9</v>
      </c>
      <c r="N771" s="73" t="s">
        <v>10</v>
      </c>
      <c r="O771" s="73" t="s">
        <v>11</v>
      </c>
      <c r="P771" s="198"/>
      <c r="Q771" s="26"/>
      <c r="R771" s="26"/>
      <c r="S771" s="37"/>
    </row>
    <row r="772" spans="3:19" x14ac:dyDescent="0.2">
      <c r="C772" s="412">
        <v>23</v>
      </c>
      <c r="D772" s="413" t="s">
        <v>48</v>
      </c>
      <c r="E772" s="414"/>
      <c r="F772" s="415"/>
      <c r="G772" s="32" t="s">
        <v>13</v>
      </c>
      <c r="H772" s="33">
        <v>46082</v>
      </c>
      <c r="I772" s="416"/>
      <c r="J772" s="417"/>
      <c r="K772" s="418"/>
      <c r="L772" s="418"/>
      <c r="M772" s="419"/>
      <c r="N772" s="420"/>
      <c r="O772" s="420"/>
      <c r="P772" s="421"/>
      <c r="Q772" s="26"/>
      <c r="R772" s="26"/>
      <c r="S772" s="37"/>
    </row>
    <row r="773" spans="3:19" x14ac:dyDescent="0.2">
      <c r="C773" s="412">
        <v>23</v>
      </c>
      <c r="D773" s="413" t="s">
        <v>48</v>
      </c>
      <c r="E773" s="414"/>
      <c r="F773" s="415"/>
      <c r="G773" s="29" t="s">
        <v>14</v>
      </c>
      <c r="H773" s="33">
        <v>46083</v>
      </c>
      <c r="I773" s="422">
        <v>0.31795138888888891</v>
      </c>
      <c r="J773" s="417"/>
      <c r="K773" s="418"/>
      <c r="L773" s="418"/>
      <c r="M773" s="419"/>
      <c r="N773" s="420"/>
      <c r="O773" s="420"/>
      <c r="P773" s="421"/>
      <c r="Q773" s="26"/>
      <c r="R773" s="26"/>
      <c r="S773" s="37"/>
    </row>
    <row r="774" spans="3:19" x14ac:dyDescent="0.2">
      <c r="C774" s="412">
        <v>23</v>
      </c>
      <c r="D774" s="413" t="s">
        <v>48</v>
      </c>
      <c r="E774" s="414"/>
      <c r="F774" s="415"/>
      <c r="G774" s="39" t="s">
        <v>15</v>
      </c>
      <c r="H774" s="33">
        <v>46084</v>
      </c>
      <c r="I774" s="423">
        <v>0.32145833333333335</v>
      </c>
      <c r="J774" s="417">
        <v>0.8022569444444444</v>
      </c>
      <c r="K774" s="418"/>
      <c r="L774" s="418"/>
      <c r="M774" s="419">
        <v>2</v>
      </c>
      <c r="N774" s="420"/>
      <c r="O774" s="420"/>
      <c r="P774" s="421"/>
      <c r="Q774" s="26"/>
      <c r="R774" s="26"/>
      <c r="S774" s="37"/>
    </row>
    <row r="775" spans="3:19" x14ac:dyDescent="0.2">
      <c r="C775" s="412">
        <v>23</v>
      </c>
      <c r="D775" s="413" t="s">
        <v>48</v>
      </c>
      <c r="E775" s="414"/>
      <c r="F775" s="415"/>
      <c r="G775" s="39" t="s">
        <v>16</v>
      </c>
      <c r="H775" s="33">
        <v>46085</v>
      </c>
      <c r="I775" s="423">
        <v>0.32096064814814812</v>
      </c>
      <c r="J775" s="417">
        <v>0.70990740740740732</v>
      </c>
      <c r="K775" s="418"/>
      <c r="L775" s="418"/>
      <c r="M775" s="419"/>
      <c r="N775" s="420"/>
      <c r="O775" s="420"/>
      <c r="P775" s="421"/>
      <c r="Q775" s="26"/>
      <c r="R775" s="26"/>
      <c r="S775" s="37"/>
    </row>
    <row r="776" spans="3:19" x14ac:dyDescent="0.2">
      <c r="C776" s="412">
        <v>23</v>
      </c>
      <c r="D776" s="413" t="s">
        <v>48</v>
      </c>
      <c r="E776" s="414"/>
      <c r="F776" s="415"/>
      <c r="G776" s="39" t="s">
        <v>17</v>
      </c>
      <c r="H776" s="33">
        <v>46086</v>
      </c>
      <c r="I776" s="423">
        <v>0.31612268518518521</v>
      </c>
      <c r="J776" s="417">
        <v>0.71517361111111111</v>
      </c>
      <c r="K776" s="418"/>
      <c r="L776" s="418"/>
      <c r="M776" s="419"/>
      <c r="N776" s="420"/>
      <c r="O776" s="420"/>
      <c r="P776" s="421"/>
      <c r="Q776" s="26"/>
      <c r="R776" s="26"/>
      <c r="S776" s="37"/>
    </row>
    <row r="777" spans="3:19" x14ac:dyDescent="0.2">
      <c r="C777" s="412">
        <v>23</v>
      </c>
      <c r="D777" s="413" t="s">
        <v>48</v>
      </c>
      <c r="E777" s="414"/>
      <c r="F777" s="415"/>
      <c r="G777" s="45" t="s">
        <v>18</v>
      </c>
      <c r="H777" s="33">
        <v>46087</v>
      </c>
      <c r="I777" s="423">
        <v>0.31081018518518516</v>
      </c>
      <c r="J777" s="417">
        <v>0.75792824074074072</v>
      </c>
      <c r="K777" s="418"/>
      <c r="L777" s="418"/>
      <c r="M777" s="419">
        <v>1</v>
      </c>
      <c r="N777" s="420"/>
      <c r="O777" s="420"/>
      <c r="P777" s="421"/>
      <c r="Q777" s="26"/>
      <c r="R777" s="26"/>
      <c r="S777" s="37"/>
    </row>
    <row r="778" spans="3:19" x14ac:dyDescent="0.2">
      <c r="C778" s="412">
        <v>23</v>
      </c>
      <c r="D778" s="413" t="s">
        <v>48</v>
      </c>
      <c r="E778" s="414"/>
      <c r="F778" s="415"/>
      <c r="G778" s="39" t="s">
        <v>19</v>
      </c>
      <c r="H778" s="33">
        <v>46088</v>
      </c>
      <c r="I778" s="423"/>
      <c r="J778" s="417"/>
      <c r="K778" s="418"/>
      <c r="L778" s="418"/>
      <c r="M778" s="419"/>
      <c r="N778" s="420"/>
      <c r="O778" s="420"/>
      <c r="P778" s="421"/>
      <c r="Q778" s="26"/>
      <c r="R778" s="26"/>
      <c r="S778" s="37"/>
    </row>
    <row r="779" spans="3:19" x14ac:dyDescent="0.25">
      <c r="C779" s="412">
        <v>23</v>
      </c>
      <c r="D779" s="413" t="s">
        <v>48</v>
      </c>
      <c r="E779" s="414"/>
      <c r="F779" s="415"/>
      <c r="G779" s="46" t="s">
        <v>13</v>
      </c>
      <c r="H779" s="33">
        <v>46089</v>
      </c>
      <c r="I779" s="416"/>
      <c r="K779" s="418"/>
      <c r="L779" s="418"/>
      <c r="M779" s="419"/>
      <c r="N779" s="420"/>
      <c r="O779" s="420"/>
      <c r="P779" s="421"/>
      <c r="Q779" s="26"/>
      <c r="R779" s="26"/>
      <c r="S779" s="37"/>
    </row>
    <row r="780" spans="3:19" x14ac:dyDescent="0.25">
      <c r="C780" s="412">
        <v>23</v>
      </c>
      <c r="D780" s="413" t="s">
        <v>48</v>
      </c>
      <c r="E780" s="414"/>
      <c r="F780" s="415"/>
      <c r="G780" s="39" t="s">
        <v>14</v>
      </c>
      <c r="H780" s="33">
        <v>46090</v>
      </c>
      <c r="I780" s="5">
        <v>0.31049768518518517</v>
      </c>
      <c r="J780" s="423">
        <v>0.70835648148148145</v>
      </c>
      <c r="K780" s="418"/>
      <c r="L780" s="418"/>
      <c r="M780" s="419"/>
      <c r="N780" s="420"/>
      <c r="O780" s="420"/>
      <c r="P780" s="421"/>
      <c r="Q780" s="26"/>
      <c r="R780" s="26"/>
      <c r="S780" s="37"/>
    </row>
    <row r="781" spans="3:19" x14ac:dyDescent="0.2">
      <c r="C781" s="412">
        <v>23</v>
      </c>
      <c r="D781" s="413" t="s">
        <v>48</v>
      </c>
      <c r="E781" s="414"/>
      <c r="F781" s="415"/>
      <c r="G781" s="39" t="s">
        <v>15</v>
      </c>
      <c r="H781" s="33">
        <v>46091</v>
      </c>
      <c r="I781" s="422">
        <v>0.30962962962962964</v>
      </c>
      <c r="J781" s="417">
        <v>0.70837962962962964</v>
      </c>
      <c r="K781" s="418"/>
      <c r="L781" s="418"/>
      <c r="M781" s="419"/>
      <c r="N781" s="420"/>
      <c r="O781" s="420"/>
      <c r="P781" s="421"/>
      <c r="Q781" s="26"/>
      <c r="R781" s="26"/>
      <c r="S781" s="37"/>
    </row>
    <row r="782" spans="3:19" x14ac:dyDescent="0.2">
      <c r="C782" s="412">
        <v>23</v>
      </c>
      <c r="D782" s="413" t="s">
        <v>48</v>
      </c>
      <c r="E782" s="414"/>
      <c r="F782" s="415"/>
      <c r="G782" s="39" t="s">
        <v>16</v>
      </c>
      <c r="H782" s="33">
        <v>46092</v>
      </c>
      <c r="I782" s="423">
        <v>0.31172453703703701</v>
      </c>
      <c r="J782" s="417">
        <v>0.70856481481481481</v>
      </c>
      <c r="K782" s="418"/>
      <c r="L782" s="418"/>
      <c r="M782" s="419"/>
      <c r="N782" s="420"/>
      <c r="O782" s="420"/>
      <c r="P782" s="421"/>
      <c r="Q782" s="26"/>
      <c r="R782" s="26"/>
      <c r="S782" s="37"/>
    </row>
    <row r="783" spans="3:19" x14ac:dyDescent="0.2">
      <c r="C783" s="412">
        <v>23</v>
      </c>
      <c r="D783" s="413" t="s">
        <v>48</v>
      </c>
      <c r="E783" s="414"/>
      <c r="F783" s="415"/>
      <c r="G783" s="39" t="s">
        <v>17</v>
      </c>
      <c r="H783" s="33">
        <v>46093</v>
      </c>
      <c r="I783" s="423">
        <v>0.31283564814814818</v>
      </c>
      <c r="J783" s="417">
        <v>0.70841435185185186</v>
      </c>
      <c r="K783" s="418"/>
      <c r="L783" s="418"/>
      <c r="M783" s="419"/>
      <c r="N783" s="420"/>
      <c r="O783" s="420"/>
      <c r="P783" s="421"/>
      <c r="Q783" s="26"/>
      <c r="R783" s="26"/>
      <c r="S783" s="37"/>
    </row>
    <row r="784" spans="3:19" x14ac:dyDescent="0.2">
      <c r="C784" s="412">
        <v>23</v>
      </c>
      <c r="D784" s="413" t="s">
        <v>48</v>
      </c>
      <c r="E784" s="414"/>
      <c r="F784" s="415"/>
      <c r="G784" s="48" t="s">
        <v>18</v>
      </c>
      <c r="H784" s="33">
        <v>46094</v>
      </c>
      <c r="I784" s="422">
        <v>0.31440972222222224</v>
      </c>
      <c r="J784" s="417">
        <v>0.70836805555555549</v>
      </c>
      <c r="K784" s="418"/>
      <c r="L784" s="418"/>
      <c r="M784" s="419"/>
      <c r="N784" s="420"/>
      <c r="O784" s="420"/>
      <c r="P784" s="421"/>
      <c r="Q784" s="26"/>
      <c r="R784" s="26"/>
      <c r="S784" s="37"/>
    </row>
    <row r="785" spans="3:19" x14ac:dyDescent="0.2">
      <c r="C785" s="412">
        <v>23</v>
      </c>
      <c r="D785" s="413" t="s">
        <v>48</v>
      </c>
      <c r="E785" s="414"/>
      <c r="F785" s="415"/>
      <c r="G785" s="39" t="s">
        <v>19</v>
      </c>
      <c r="H785" s="33">
        <v>46095</v>
      </c>
      <c r="I785" s="423">
        <v>0.32813657407407409</v>
      </c>
      <c r="J785" s="417"/>
      <c r="K785" s="418"/>
      <c r="L785" s="418"/>
      <c r="M785" s="419"/>
      <c r="N785" s="420"/>
      <c r="O785" s="420"/>
      <c r="P785" s="421"/>
      <c r="Q785" s="26"/>
      <c r="R785" s="26"/>
      <c r="S785" s="37"/>
    </row>
    <row r="786" spans="3:19" x14ac:dyDescent="0.2">
      <c r="C786" s="412">
        <v>23</v>
      </c>
      <c r="D786" s="413" t="s">
        <v>48</v>
      </c>
      <c r="E786" s="414"/>
      <c r="F786" s="415"/>
      <c r="G786" s="46" t="s">
        <v>13</v>
      </c>
      <c r="H786" s="33">
        <v>46096</v>
      </c>
      <c r="I786" s="423"/>
      <c r="J786" s="417"/>
      <c r="K786" s="418"/>
      <c r="L786" s="418"/>
      <c r="M786" s="419"/>
      <c r="N786" s="420"/>
      <c r="O786" s="420"/>
      <c r="P786" s="44"/>
      <c r="Q786" s="26"/>
      <c r="R786" s="26"/>
      <c r="S786" s="37"/>
    </row>
    <row r="787" spans="3:19" x14ac:dyDescent="0.2">
      <c r="C787" s="412">
        <v>23</v>
      </c>
      <c r="D787" s="413" t="s">
        <v>48</v>
      </c>
      <c r="E787" s="414"/>
      <c r="F787" s="415"/>
      <c r="G787" s="39" t="s">
        <v>14</v>
      </c>
      <c r="H787" s="33">
        <v>46097</v>
      </c>
      <c r="I787" s="416"/>
      <c r="J787" s="417"/>
      <c r="K787" s="418"/>
      <c r="L787" s="418"/>
      <c r="M787" s="419"/>
      <c r="N787" s="420"/>
      <c r="O787" s="420"/>
      <c r="P787" s="421"/>
      <c r="Q787" s="26"/>
      <c r="R787" s="26"/>
      <c r="S787" s="37"/>
    </row>
    <row r="788" spans="3:19" x14ac:dyDescent="0.2">
      <c r="C788" s="412">
        <v>23</v>
      </c>
      <c r="D788" s="413" t="s">
        <v>48</v>
      </c>
      <c r="E788" s="414"/>
      <c r="F788" s="415"/>
      <c r="G788" s="39" t="s">
        <v>15</v>
      </c>
      <c r="H788" s="33">
        <v>46098</v>
      </c>
      <c r="I788" s="416"/>
      <c r="J788" s="417"/>
      <c r="K788" s="418"/>
      <c r="L788" s="418"/>
      <c r="M788" s="419"/>
      <c r="N788" s="420"/>
      <c r="O788" s="420"/>
      <c r="P788" s="421"/>
      <c r="Q788" s="26"/>
      <c r="R788" s="26"/>
      <c r="S788" s="37"/>
    </row>
    <row r="789" spans="3:19" x14ac:dyDescent="0.2">
      <c r="C789" s="412">
        <v>23</v>
      </c>
      <c r="D789" s="413" t="s">
        <v>48</v>
      </c>
      <c r="E789" s="414"/>
      <c r="F789" s="415"/>
      <c r="G789" s="39" t="s">
        <v>16</v>
      </c>
      <c r="H789" s="33">
        <v>46099</v>
      </c>
      <c r="I789" s="422"/>
      <c r="J789" s="417"/>
      <c r="K789" s="418"/>
      <c r="L789" s="418"/>
      <c r="M789" s="419"/>
      <c r="N789" s="420"/>
      <c r="O789" s="420"/>
      <c r="P789" s="421"/>
      <c r="Q789" s="26"/>
      <c r="R789" s="26"/>
      <c r="S789" s="37"/>
    </row>
    <row r="790" spans="3:19" x14ac:dyDescent="0.2">
      <c r="C790" s="412">
        <v>23</v>
      </c>
      <c r="D790" s="413" t="s">
        <v>48</v>
      </c>
      <c r="E790" s="414"/>
      <c r="F790" s="415"/>
      <c r="G790" s="39" t="s">
        <v>17</v>
      </c>
      <c r="H790" s="33">
        <v>46100</v>
      </c>
      <c r="I790" s="422"/>
      <c r="J790" s="417"/>
      <c r="K790" s="418"/>
      <c r="L790" s="418"/>
      <c r="M790" s="419"/>
      <c r="N790" s="420"/>
      <c r="O790" s="420"/>
      <c r="P790" s="421"/>
      <c r="Q790" s="26"/>
      <c r="R790" s="26"/>
      <c r="S790" s="37"/>
    </row>
    <row r="791" spans="3:19" x14ac:dyDescent="0.2">
      <c r="C791" s="412">
        <v>23</v>
      </c>
      <c r="D791" s="413" t="s">
        <v>48</v>
      </c>
      <c r="E791" s="414"/>
      <c r="F791" s="415"/>
      <c r="G791" s="39" t="s">
        <v>18</v>
      </c>
      <c r="H791" s="33">
        <v>46101</v>
      </c>
      <c r="I791" s="423"/>
      <c r="J791" s="417"/>
      <c r="K791" s="418"/>
      <c r="L791" s="418"/>
      <c r="M791" s="419"/>
      <c r="N791" s="420"/>
      <c r="O791" s="420"/>
      <c r="P791" s="421"/>
      <c r="Q791" s="26"/>
      <c r="R791" s="26"/>
      <c r="S791" s="37"/>
    </row>
    <row r="792" spans="3:19" x14ac:dyDescent="0.2">
      <c r="C792" s="412">
        <v>23</v>
      </c>
      <c r="D792" s="413" t="s">
        <v>48</v>
      </c>
      <c r="E792" s="414"/>
      <c r="F792" s="415"/>
      <c r="G792" s="39" t="s">
        <v>19</v>
      </c>
      <c r="H792" s="33">
        <v>46102</v>
      </c>
      <c r="I792" s="423"/>
      <c r="J792" s="417"/>
      <c r="K792" s="418"/>
      <c r="L792" s="418"/>
      <c r="M792" s="419"/>
      <c r="N792" s="420"/>
      <c r="O792" s="420"/>
      <c r="P792" s="421"/>
      <c r="Q792" s="26"/>
      <c r="R792" s="26"/>
      <c r="S792" s="37"/>
    </row>
    <row r="793" spans="3:19" x14ac:dyDescent="0.2">
      <c r="C793" s="412">
        <v>23</v>
      </c>
      <c r="D793" s="413" t="s">
        <v>48</v>
      </c>
      <c r="E793" s="414"/>
      <c r="F793" s="415"/>
      <c r="G793" s="46" t="s">
        <v>13</v>
      </c>
      <c r="H793" s="33">
        <v>46103</v>
      </c>
      <c r="I793" s="423"/>
      <c r="J793" s="417"/>
      <c r="K793" s="418"/>
      <c r="L793" s="418"/>
      <c r="M793" s="419"/>
      <c r="N793" s="420"/>
      <c r="O793" s="420"/>
      <c r="P793" s="421"/>
      <c r="Q793" s="26"/>
      <c r="R793" s="26"/>
      <c r="S793" s="37"/>
    </row>
    <row r="794" spans="3:19" x14ac:dyDescent="0.2">
      <c r="C794" s="412">
        <v>23</v>
      </c>
      <c r="D794" s="413" t="s">
        <v>48</v>
      </c>
      <c r="E794" s="414"/>
      <c r="F794" s="415"/>
      <c r="G794" s="39" t="s">
        <v>14</v>
      </c>
      <c r="H794" s="33">
        <v>46104</v>
      </c>
      <c r="I794" s="422"/>
      <c r="J794" s="417"/>
      <c r="K794" s="418"/>
      <c r="L794" s="418"/>
      <c r="M794" s="419"/>
      <c r="N794" s="420"/>
      <c r="O794" s="420"/>
      <c r="P794" s="421"/>
      <c r="Q794" s="26"/>
      <c r="R794" s="26"/>
      <c r="S794" s="37"/>
    </row>
    <row r="795" spans="3:19" x14ac:dyDescent="0.2">
      <c r="C795" s="412">
        <v>23</v>
      </c>
      <c r="D795" s="413" t="s">
        <v>48</v>
      </c>
      <c r="E795" s="414"/>
      <c r="F795" s="415"/>
      <c r="G795" s="39" t="s">
        <v>15</v>
      </c>
      <c r="H795" s="33">
        <v>46105</v>
      </c>
      <c r="I795" s="423"/>
      <c r="J795" s="417"/>
      <c r="K795" s="418"/>
      <c r="L795" s="418"/>
      <c r="M795" s="419"/>
      <c r="N795" s="420"/>
      <c r="O795" s="420"/>
      <c r="P795" s="421"/>
      <c r="Q795" s="26"/>
      <c r="R795" s="26"/>
      <c r="S795" s="37"/>
    </row>
    <row r="796" spans="3:19" x14ac:dyDescent="0.2">
      <c r="C796" s="412">
        <v>23</v>
      </c>
      <c r="D796" s="413" t="s">
        <v>48</v>
      </c>
      <c r="E796" s="414"/>
      <c r="F796" s="415"/>
      <c r="G796" s="39" t="s">
        <v>16</v>
      </c>
      <c r="H796" s="33">
        <v>46106</v>
      </c>
      <c r="I796" s="423"/>
      <c r="J796" s="417"/>
      <c r="K796" s="418"/>
      <c r="L796" s="418"/>
      <c r="M796" s="419"/>
      <c r="N796" s="420"/>
      <c r="O796" s="420"/>
      <c r="P796" s="421"/>
      <c r="Q796" s="26"/>
      <c r="R796" s="26"/>
      <c r="S796" s="37"/>
    </row>
    <row r="797" spans="3:19" x14ac:dyDescent="0.2">
      <c r="C797" s="412">
        <v>23</v>
      </c>
      <c r="D797" s="413" t="s">
        <v>48</v>
      </c>
      <c r="E797" s="414"/>
      <c r="F797" s="415"/>
      <c r="G797" s="39" t="s">
        <v>17</v>
      </c>
      <c r="H797" s="33">
        <v>46107</v>
      </c>
      <c r="I797" s="422"/>
      <c r="J797" s="417"/>
      <c r="K797" s="418"/>
      <c r="L797" s="418"/>
      <c r="M797" s="419"/>
      <c r="N797" s="420"/>
      <c r="O797" s="420"/>
      <c r="P797" s="421"/>
      <c r="Q797" s="26"/>
      <c r="R797" s="26"/>
      <c r="S797" s="37"/>
    </row>
    <row r="798" spans="3:19" x14ac:dyDescent="0.2">
      <c r="C798" s="412">
        <v>23</v>
      </c>
      <c r="D798" s="413" t="s">
        <v>48</v>
      </c>
      <c r="E798" s="414"/>
      <c r="F798" s="415"/>
      <c r="G798" s="39" t="s">
        <v>18</v>
      </c>
      <c r="H798" s="33">
        <v>46108</v>
      </c>
      <c r="I798" s="423"/>
      <c r="J798" s="417"/>
      <c r="K798" s="418"/>
      <c r="L798" s="418"/>
      <c r="M798" s="419"/>
      <c r="N798" s="420"/>
      <c r="O798" s="420"/>
      <c r="P798" s="421"/>
      <c r="Q798" s="26"/>
      <c r="R798" s="26"/>
      <c r="S798" s="37"/>
    </row>
    <row r="799" spans="3:19" x14ac:dyDescent="0.2">
      <c r="C799" s="412">
        <v>23</v>
      </c>
      <c r="D799" s="413" t="s">
        <v>48</v>
      </c>
      <c r="E799" s="414"/>
      <c r="F799" s="415"/>
      <c r="G799" s="39" t="s">
        <v>19</v>
      </c>
      <c r="H799" s="33">
        <v>46109</v>
      </c>
      <c r="I799" s="423"/>
      <c r="J799" s="417"/>
      <c r="K799" s="418"/>
      <c r="L799" s="418"/>
      <c r="M799" s="419"/>
      <c r="N799" s="420"/>
      <c r="O799" s="420"/>
      <c r="P799" s="421"/>
      <c r="Q799" s="26"/>
      <c r="R799" s="26"/>
      <c r="S799" s="37"/>
    </row>
    <row r="800" spans="3:19" x14ac:dyDescent="0.2">
      <c r="C800" s="412">
        <v>23</v>
      </c>
      <c r="D800" s="413" t="s">
        <v>48</v>
      </c>
      <c r="E800" s="414"/>
      <c r="F800" s="415"/>
      <c r="G800" s="46" t="s">
        <v>13</v>
      </c>
      <c r="H800" s="33">
        <v>46110</v>
      </c>
      <c r="I800" s="423"/>
      <c r="J800" s="417"/>
      <c r="K800" s="418"/>
      <c r="L800" s="418"/>
      <c r="M800" s="419"/>
      <c r="N800" s="420"/>
      <c r="O800" s="420"/>
      <c r="P800" s="421"/>
      <c r="Q800" s="26"/>
      <c r="R800" s="26"/>
      <c r="S800" s="37"/>
    </row>
    <row r="801" spans="3:19" x14ac:dyDescent="0.2">
      <c r="C801" s="412">
        <v>23</v>
      </c>
      <c r="D801" s="413" t="s">
        <v>48</v>
      </c>
      <c r="E801" s="414"/>
      <c r="F801" s="415"/>
      <c r="G801" s="39" t="s">
        <v>14</v>
      </c>
      <c r="H801" s="33">
        <v>46111</v>
      </c>
      <c r="I801" s="423"/>
      <c r="J801" s="417"/>
      <c r="K801" s="418"/>
      <c r="L801" s="418"/>
      <c r="M801" s="419"/>
      <c r="N801" s="420"/>
      <c r="O801" s="420"/>
      <c r="P801" s="421"/>
      <c r="Q801" s="26"/>
      <c r="R801" s="26"/>
      <c r="S801" s="37"/>
    </row>
    <row r="802" spans="3:19" x14ac:dyDescent="0.2">
      <c r="C802" s="412">
        <v>23</v>
      </c>
      <c r="D802" s="413" t="s">
        <v>48</v>
      </c>
      <c r="E802" s="414"/>
      <c r="F802" s="415"/>
      <c r="G802" s="39" t="s">
        <v>15</v>
      </c>
      <c r="H802" s="33">
        <v>46112</v>
      </c>
      <c r="I802" s="423"/>
      <c r="J802" s="417"/>
      <c r="K802" s="418"/>
      <c r="L802" s="418"/>
      <c r="M802" s="419"/>
      <c r="N802" s="420"/>
      <c r="O802" s="420"/>
      <c r="P802" s="421"/>
      <c r="Q802" s="26"/>
      <c r="R802" s="26"/>
      <c r="S802" s="37"/>
    </row>
    <row r="803" spans="3:19" x14ac:dyDescent="0.2">
      <c r="C803" s="412"/>
      <c r="D803" s="413"/>
      <c r="E803" s="414"/>
      <c r="F803" s="415"/>
      <c r="G803" s="39"/>
      <c r="H803" s="33"/>
      <c r="I803" s="417"/>
      <c r="J803" s="417"/>
      <c r="K803" s="418"/>
      <c r="L803" s="418"/>
      <c r="M803" s="419"/>
      <c r="N803" s="420"/>
      <c r="O803" s="420"/>
      <c r="P803" s="421"/>
      <c r="Q803" s="26"/>
      <c r="R803" s="26"/>
      <c r="S803" s="37"/>
    </row>
    <row r="804" spans="3:19" x14ac:dyDescent="0.2">
      <c r="C804" s="424"/>
      <c r="D804" s="425"/>
      <c r="E804" s="426"/>
      <c r="F804" s="426"/>
      <c r="G804" s="427"/>
      <c r="H804" s="428"/>
      <c r="I804" s="429" t="str">
        <f>D775</f>
        <v>SEPRI MAULADI</v>
      </c>
      <c r="J804" s="430" t="s">
        <v>20</v>
      </c>
      <c r="K804" s="431"/>
      <c r="L804" s="431"/>
      <c r="M804" s="432">
        <f>SUM(M772:M803)</f>
        <v>3</v>
      </c>
      <c r="N804" s="432">
        <f t="shared" ref="N804:O804" si="17">SUM(N772:N803)</f>
        <v>0</v>
      </c>
      <c r="O804" s="432">
        <f t="shared" si="17"/>
        <v>0</v>
      </c>
      <c r="P804" s="421"/>
      <c r="Q804" s="26"/>
      <c r="R804" s="26"/>
      <c r="S804" s="37"/>
    </row>
    <row r="805" spans="3:19" x14ac:dyDescent="0.2">
      <c r="C805" s="433"/>
      <c r="D805" s="434"/>
      <c r="E805" s="435"/>
      <c r="F805" s="435"/>
      <c r="G805" s="436"/>
      <c r="H805" s="437"/>
      <c r="I805" s="438"/>
      <c r="J805" s="438"/>
      <c r="K805" s="437"/>
      <c r="L805" s="437"/>
      <c r="M805" s="437"/>
      <c r="N805" s="439"/>
      <c r="O805" s="439"/>
      <c r="P805" s="440"/>
      <c r="Q805" s="26"/>
      <c r="R805" s="26"/>
      <c r="S805" s="37"/>
    </row>
    <row r="806" spans="3:19" x14ac:dyDescent="0.2">
      <c r="C806" s="58"/>
      <c r="D806" s="59"/>
      <c r="E806" s="60"/>
      <c r="F806" s="60"/>
      <c r="G806" s="61"/>
      <c r="H806" s="62"/>
      <c r="I806" s="63"/>
      <c r="J806" s="63"/>
      <c r="K806" s="62"/>
      <c r="L806" s="62"/>
      <c r="M806" s="62"/>
      <c r="N806" s="64"/>
      <c r="O806" s="64"/>
      <c r="P806" s="65"/>
      <c r="Q806" s="26"/>
      <c r="R806" s="26"/>
      <c r="S806" s="37"/>
    </row>
    <row r="807" spans="3:19" x14ac:dyDescent="0.2">
      <c r="C807" s="365" t="s">
        <v>1</v>
      </c>
      <c r="D807" s="67" t="s">
        <v>2</v>
      </c>
      <c r="E807" s="68" t="s">
        <v>3</v>
      </c>
      <c r="F807" s="68" t="s">
        <v>4</v>
      </c>
      <c r="G807" s="69" t="s">
        <v>5</v>
      </c>
      <c r="H807" s="68" t="s">
        <v>6</v>
      </c>
      <c r="I807" s="70" t="s">
        <v>7</v>
      </c>
      <c r="J807" s="70" t="s">
        <v>8</v>
      </c>
      <c r="K807" s="71"/>
      <c r="L807" s="72"/>
      <c r="M807" s="72" t="s">
        <v>9</v>
      </c>
      <c r="N807" s="73" t="s">
        <v>10</v>
      </c>
      <c r="O807" s="73" t="s">
        <v>11</v>
      </c>
      <c r="P807" s="198"/>
      <c r="Q807" s="26"/>
      <c r="R807" s="26"/>
      <c r="S807" s="37"/>
    </row>
    <row r="808" spans="3:19" x14ac:dyDescent="0.2">
      <c r="C808" s="441">
        <v>24</v>
      </c>
      <c r="D808" s="442" t="s">
        <v>49</v>
      </c>
      <c r="E808" s="443"/>
      <c r="F808" s="444"/>
      <c r="G808" s="32" t="s">
        <v>13</v>
      </c>
      <c r="H808" s="33">
        <v>46082</v>
      </c>
      <c r="I808" s="445"/>
      <c r="J808" s="446"/>
      <c r="K808" s="447"/>
      <c r="L808" s="447"/>
      <c r="M808" s="448"/>
      <c r="N808" s="449"/>
      <c r="O808" s="449"/>
      <c r="P808" s="450"/>
      <c r="Q808" s="26"/>
      <c r="R808" s="26"/>
      <c r="S808" s="37"/>
    </row>
    <row r="809" spans="3:19" x14ac:dyDescent="0.2">
      <c r="C809" s="441">
        <v>24</v>
      </c>
      <c r="D809" s="442" t="s">
        <v>49</v>
      </c>
      <c r="E809" s="443"/>
      <c r="F809" s="444"/>
      <c r="G809" s="29" t="s">
        <v>14</v>
      </c>
      <c r="H809" s="33">
        <v>46083</v>
      </c>
      <c r="I809" s="451">
        <v>0.32702546296296298</v>
      </c>
      <c r="J809" s="446"/>
      <c r="K809" s="447"/>
      <c r="L809" s="447"/>
      <c r="M809" s="448"/>
      <c r="N809" s="449"/>
      <c r="O809" s="449"/>
      <c r="P809" s="450"/>
      <c r="Q809" s="26"/>
      <c r="R809" s="26"/>
      <c r="S809" s="37"/>
    </row>
    <row r="810" spans="3:19" x14ac:dyDescent="0.2">
      <c r="C810" s="441">
        <v>24</v>
      </c>
      <c r="D810" s="442" t="s">
        <v>49</v>
      </c>
      <c r="E810" s="443"/>
      <c r="F810" s="444"/>
      <c r="G810" s="39" t="s">
        <v>15</v>
      </c>
      <c r="H810" s="33">
        <v>46084</v>
      </c>
      <c r="I810" s="452">
        <v>0.33055555555555555</v>
      </c>
      <c r="J810" s="446">
        <v>0.71160879629629636</v>
      </c>
      <c r="K810" s="447"/>
      <c r="L810" s="447"/>
      <c r="M810" s="448"/>
      <c r="N810" s="449"/>
      <c r="O810" s="449"/>
      <c r="P810" s="450"/>
      <c r="Q810" s="26"/>
      <c r="R810" s="26"/>
      <c r="S810" s="37"/>
    </row>
    <row r="811" spans="3:19" x14ac:dyDescent="0.2">
      <c r="C811" s="441">
        <v>24</v>
      </c>
      <c r="D811" s="442" t="s">
        <v>49</v>
      </c>
      <c r="E811" s="443"/>
      <c r="F811" s="444"/>
      <c r="G811" s="39" t="s">
        <v>16</v>
      </c>
      <c r="H811" s="33">
        <v>46085</v>
      </c>
      <c r="I811" s="452">
        <v>0.32805555555555554</v>
      </c>
      <c r="J811" s="446">
        <v>0.70890046296296294</v>
      </c>
      <c r="K811" s="447"/>
      <c r="L811" s="447"/>
      <c r="M811" s="448"/>
      <c r="N811" s="449"/>
      <c r="O811" s="449"/>
      <c r="P811" s="450"/>
      <c r="Q811" s="26"/>
      <c r="R811" s="26"/>
      <c r="S811" s="37"/>
    </row>
    <row r="812" spans="3:19" x14ac:dyDescent="0.2">
      <c r="C812" s="441">
        <v>24</v>
      </c>
      <c r="D812" s="442" t="s">
        <v>49</v>
      </c>
      <c r="E812" s="443"/>
      <c r="F812" s="444"/>
      <c r="G812" s="39" t="s">
        <v>17</v>
      </c>
      <c r="H812" s="33">
        <v>46086</v>
      </c>
      <c r="I812" s="452">
        <v>0.3291087962962963</v>
      </c>
      <c r="J812" s="446">
        <v>0.80284722222222227</v>
      </c>
      <c r="K812" s="447"/>
      <c r="L812" s="447"/>
      <c r="M812" s="448">
        <v>2</v>
      </c>
      <c r="N812" s="449"/>
      <c r="O812" s="449"/>
      <c r="P812" s="450"/>
      <c r="Q812" s="26"/>
      <c r="R812" s="26"/>
      <c r="S812" s="37"/>
    </row>
    <row r="813" spans="3:19" x14ac:dyDescent="0.2">
      <c r="C813" s="441">
        <v>24</v>
      </c>
      <c r="D813" s="442" t="s">
        <v>49</v>
      </c>
      <c r="E813" s="443"/>
      <c r="F813" s="444"/>
      <c r="G813" s="45" t="s">
        <v>18</v>
      </c>
      <c r="H813" s="33">
        <v>46087</v>
      </c>
      <c r="I813" s="452">
        <v>0.32739583333333333</v>
      </c>
      <c r="J813" s="446">
        <v>0.75741898148148146</v>
      </c>
      <c r="K813" s="447"/>
      <c r="L813" s="447"/>
      <c r="M813" s="448">
        <v>1</v>
      </c>
      <c r="N813" s="449"/>
      <c r="O813" s="449"/>
      <c r="P813" s="450"/>
      <c r="Q813" s="26"/>
      <c r="R813" s="26"/>
      <c r="S813" s="37"/>
    </row>
    <row r="814" spans="3:19" x14ac:dyDescent="0.2">
      <c r="C814" s="441">
        <v>24</v>
      </c>
      <c r="D814" s="442" t="s">
        <v>49</v>
      </c>
      <c r="E814" s="443"/>
      <c r="F814" s="444"/>
      <c r="G814" s="39" t="s">
        <v>19</v>
      </c>
      <c r="H814" s="33">
        <v>46088</v>
      </c>
      <c r="I814" s="452">
        <v>0.32385416666666667</v>
      </c>
      <c r="J814" s="446">
        <v>0.60424768518518512</v>
      </c>
      <c r="K814" s="447"/>
      <c r="L814" s="447"/>
      <c r="M814" s="448">
        <v>2</v>
      </c>
      <c r="N814" s="449"/>
      <c r="O814" s="449"/>
      <c r="P814" s="450"/>
      <c r="Q814" s="26"/>
      <c r="R814" s="26"/>
      <c r="S814" s="37"/>
    </row>
    <row r="815" spans="3:19" x14ac:dyDescent="0.25">
      <c r="C815" s="441">
        <v>24</v>
      </c>
      <c r="D815" s="442" t="s">
        <v>49</v>
      </c>
      <c r="E815" s="443"/>
      <c r="F815" s="444"/>
      <c r="G815" s="46" t="s">
        <v>13</v>
      </c>
      <c r="H815" s="33">
        <v>46089</v>
      </c>
      <c r="I815" s="445"/>
      <c r="K815" s="447"/>
      <c r="L815" s="447"/>
      <c r="M815" s="448"/>
      <c r="N815" s="449"/>
      <c r="O815" s="449"/>
      <c r="P815" s="450"/>
      <c r="Q815" s="26"/>
      <c r="R815" s="26"/>
      <c r="S815" s="37"/>
    </row>
    <row r="816" spans="3:19" x14ac:dyDescent="0.25">
      <c r="C816" s="441">
        <v>24</v>
      </c>
      <c r="D816" s="442" t="s">
        <v>49</v>
      </c>
      <c r="E816" s="443"/>
      <c r="F816" s="444"/>
      <c r="G816" s="39" t="s">
        <v>14</v>
      </c>
      <c r="H816" s="33">
        <v>46090</v>
      </c>
      <c r="J816" s="452"/>
      <c r="K816" s="447"/>
      <c r="L816" s="447"/>
      <c r="M816" s="448"/>
      <c r="N816" s="449"/>
      <c r="O816" s="449"/>
      <c r="P816" s="450"/>
      <c r="Q816" s="26"/>
      <c r="R816" s="26"/>
      <c r="S816" s="37"/>
    </row>
    <row r="817" spans="3:19" x14ac:dyDescent="0.2">
      <c r="C817" s="441">
        <v>24</v>
      </c>
      <c r="D817" s="442" t="s">
        <v>49</v>
      </c>
      <c r="E817" s="443"/>
      <c r="F817" s="444"/>
      <c r="G817" s="39" t="s">
        <v>15</v>
      </c>
      <c r="H817" s="33">
        <v>46091</v>
      </c>
      <c r="I817" s="445"/>
      <c r="J817" s="446"/>
      <c r="K817" s="447"/>
      <c r="L817" s="447"/>
      <c r="M817" s="448"/>
      <c r="N817" s="449"/>
      <c r="O817" s="449"/>
      <c r="P817" s="450"/>
      <c r="Q817" s="26"/>
      <c r="R817" s="26"/>
      <c r="S817" s="37"/>
    </row>
    <row r="818" spans="3:19" x14ac:dyDescent="0.2">
      <c r="C818" s="441">
        <v>24</v>
      </c>
      <c r="D818" s="442" t="s">
        <v>49</v>
      </c>
      <c r="E818" s="443"/>
      <c r="F818" s="444"/>
      <c r="G818" s="39" t="s">
        <v>16</v>
      </c>
      <c r="H818" s="33">
        <v>46092</v>
      </c>
      <c r="I818" s="452">
        <v>0.780787037037037</v>
      </c>
      <c r="J818" s="446">
        <v>0.12528935185185186</v>
      </c>
      <c r="K818" s="447"/>
      <c r="L818" s="447"/>
      <c r="M818" s="448"/>
      <c r="N818" s="449"/>
      <c r="O818" s="449"/>
      <c r="P818" s="450"/>
      <c r="Q818" s="26"/>
      <c r="R818" s="26"/>
      <c r="S818" s="37"/>
    </row>
    <row r="819" spans="3:19" x14ac:dyDescent="0.2">
      <c r="C819" s="441">
        <v>24</v>
      </c>
      <c r="D819" s="442" t="s">
        <v>49</v>
      </c>
      <c r="E819" s="443"/>
      <c r="F819" s="444"/>
      <c r="G819" s="39" t="s">
        <v>17</v>
      </c>
      <c r="H819" s="33">
        <v>46093</v>
      </c>
      <c r="I819" s="452">
        <v>0.78874999999999995</v>
      </c>
      <c r="J819" s="446">
        <v>0.1260300925925926</v>
      </c>
      <c r="K819" s="447"/>
      <c r="L819" s="447"/>
      <c r="M819" s="448"/>
      <c r="N819" s="449"/>
      <c r="O819" s="449"/>
      <c r="P819" s="450"/>
      <c r="Q819" s="26"/>
      <c r="R819" s="26"/>
      <c r="S819" s="37"/>
    </row>
    <row r="820" spans="3:19" x14ac:dyDescent="0.2">
      <c r="C820" s="441">
        <v>24</v>
      </c>
      <c r="D820" s="442" t="s">
        <v>49</v>
      </c>
      <c r="E820" s="443"/>
      <c r="F820" s="444"/>
      <c r="G820" s="48" t="s">
        <v>18</v>
      </c>
      <c r="H820" s="33">
        <v>46094</v>
      </c>
      <c r="I820" s="451">
        <v>0.70365740740740745</v>
      </c>
      <c r="J820" s="446">
        <v>5.2164351851851858E-2</v>
      </c>
      <c r="K820" s="447"/>
      <c r="L820" s="447"/>
      <c r="M820" s="448"/>
      <c r="N820" s="449"/>
      <c r="O820" s="449"/>
      <c r="P820" s="450"/>
      <c r="Q820" s="26"/>
      <c r="R820" s="26"/>
      <c r="S820" s="37"/>
    </row>
    <row r="821" spans="3:19" x14ac:dyDescent="0.2">
      <c r="C821" s="441">
        <v>24</v>
      </c>
      <c r="D821" s="442" t="s">
        <v>49</v>
      </c>
      <c r="E821" s="443"/>
      <c r="F821" s="444"/>
      <c r="G821" s="39" t="s">
        <v>19</v>
      </c>
      <c r="H821" s="33">
        <v>46095</v>
      </c>
      <c r="I821" s="452"/>
      <c r="J821" s="446"/>
      <c r="K821" s="447"/>
      <c r="L821" s="447"/>
      <c r="M821" s="448"/>
      <c r="N821" s="449"/>
      <c r="O821" s="449"/>
      <c r="P821" s="450"/>
      <c r="Q821" s="26"/>
      <c r="R821" s="26"/>
      <c r="S821" s="37"/>
    </row>
    <row r="822" spans="3:19" x14ac:dyDescent="0.2">
      <c r="C822" s="441">
        <v>24</v>
      </c>
      <c r="D822" s="442" t="s">
        <v>49</v>
      </c>
      <c r="E822" s="443"/>
      <c r="F822" s="444"/>
      <c r="G822" s="46" t="s">
        <v>13</v>
      </c>
      <c r="H822" s="33">
        <v>46096</v>
      </c>
      <c r="I822" s="452"/>
      <c r="J822" s="446"/>
      <c r="K822" s="447"/>
      <c r="L822" s="447"/>
      <c r="M822" s="448"/>
      <c r="N822" s="449"/>
      <c r="O822" s="449"/>
      <c r="P822" s="44"/>
      <c r="Q822" s="26"/>
      <c r="R822" s="26"/>
      <c r="S822" s="37"/>
    </row>
    <row r="823" spans="3:19" x14ac:dyDescent="0.2">
      <c r="C823" s="441">
        <v>24</v>
      </c>
      <c r="D823" s="442" t="s">
        <v>49</v>
      </c>
      <c r="E823" s="443"/>
      <c r="F823" s="444"/>
      <c r="G823" s="39" t="s">
        <v>14</v>
      </c>
      <c r="H823" s="33">
        <v>46097</v>
      </c>
      <c r="I823" s="445"/>
      <c r="J823" s="446"/>
      <c r="K823" s="447"/>
      <c r="L823" s="447"/>
      <c r="M823" s="448"/>
      <c r="N823" s="449"/>
      <c r="O823" s="449"/>
      <c r="P823" s="450"/>
      <c r="Q823" s="26"/>
      <c r="R823" s="26"/>
      <c r="S823" s="37"/>
    </row>
    <row r="824" spans="3:19" x14ac:dyDescent="0.2">
      <c r="C824" s="441">
        <v>24</v>
      </c>
      <c r="D824" s="442" t="s">
        <v>49</v>
      </c>
      <c r="E824" s="443"/>
      <c r="F824" s="444"/>
      <c r="G824" s="39" t="s">
        <v>15</v>
      </c>
      <c r="H824" s="33">
        <v>46098</v>
      </c>
      <c r="I824" s="445"/>
      <c r="J824" s="446"/>
      <c r="K824" s="447"/>
      <c r="L824" s="447"/>
      <c r="M824" s="448"/>
      <c r="N824" s="449"/>
      <c r="O824" s="449"/>
      <c r="P824" s="450"/>
      <c r="Q824" s="26"/>
      <c r="R824" s="26"/>
      <c r="S824" s="37"/>
    </row>
    <row r="825" spans="3:19" x14ac:dyDescent="0.2">
      <c r="C825" s="441">
        <v>24</v>
      </c>
      <c r="D825" s="442" t="s">
        <v>49</v>
      </c>
      <c r="E825" s="443"/>
      <c r="F825" s="444"/>
      <c r="G825" s="39" t="s">
        <v>16</v>
      </c>
      <c r="H825" s="33">
        <v>46099</v>
      </c>
      <c r="I825" s="451"/>
      <c r="J825" s="446"/>
      <c r="K825" s="447"/>
      <c r="L825" s="447"/>
      <c r="M825" s="448"/>
      <c r="N825" s="449"/>
      <c r="O825" s="449"/>
      <c r="P825" s="450"/>
      <c r="Q825" s="26"/>
      <c r="R825" s="26"/>
      <c r="S825" s="37"/>
    </row>
    <row r="826" spans="3:19" x14ac:dyDescent="0.2">
      <c r="C826" s="441">
        <v>24</v>
      </c>
      <c r="D826" s="442" t="s">
        <v>49</v>
      </c>
      <c r="E826" s="443"/>
      <c r="F826" s="444"/>
      <c r="G826" s="39" t="s">
        <v>17</v>
      </c>
      <c r="H826" s="33">
        <v>46100</v>
      </c>
      <c r="I826" s="451"/>
      <c r="J826" s="446"/>
      <c r="K826" s="447"/>
      <c r="L826" s="447"/>
      <c r="M826" s="448"/>
      <c r="N826" s="449"/>
      <c r="O826" s="449"/>
      <c r="P826" s="450"/>
      <c r="Q826" s="26"/>
      <c r="R826" s="26"/>
      <c r="S826" s="37"/>
    </row>
    <row r="827" spans="3:19" x14ac:dyDescent="0.2">
      <c r="C827" s="441">
        <v>24</v>
      </c>
      <c r="D827" s="442" t="s">
        <v>49</v>
      </c>
      <c r="E827" s="443"/>
      <c r="F827" s="444"/>
      <c r="G827" s="39" t="s">
        <v>18</v>
      </c>
      <c r="H827" s="33">
        <v>46101</v>
      </c>
      <c r="I827" s="452"/>
      <c r="J827" s="446"/>
      <c r="K827" s="447"/>
      <c r="L827" s="447"/>
      <c r="M827" s="448"/>
      <c r="N827" s="449"/>
      <c r="O827" s="449"/>
      <c r="P827" s="450"/>
      <c r="Q827" s="26"/>
      <c r="R827" s="26"/>
      <c r="S827" s="37"/>
    </row>
    <row r="828" spans="3:19" x14ac:dyDescent="0.2">
      <c r="C828" s="441">
        <v>24</v>
      </c>
      <c r="D828" s="442" t="s">
        <v>49</v>
      </c>
      <c r="E828" s="443"/>
      <c r="F828" s="444"/>
      <c r="G828" s="39" t="s">
        <v>19</v>
      </c>
      <c r="H828" s="33">
        <v>46102</v>
      </c>
      <c r="I828" s="452"/>
      <c r="J828" s="446"/>
      <c r="K828" s="447"/>
      <c r="L828" s="447"/>
      <c r="M828" s="448"/>
      <c r="N828" s="449"/>
      <c r="O828" s="449"/>
      <c r="P828" s="450"/>
      <c r="Q828" s="26"/>
      <c r="R828" s="26"/>
      <c r="S828" s="37"/>
    </row>
    <row r="829" spans="3:19" x14ac:dyDescent="0.2">
      <c r="C829" s="441">
        <v>24</v>
      </c>
      <c r="D829" s="442" t="s">
        <v>49</v>
      </c>
      <c r="E829" s="443"/>
      <c r="F829" s="444"/>
      <c r="G829" s="46" t="s">
        <v>13</v>
      </c>
      <c r="H829" s="33">
        <v>46103</v>
      </c>
      <c r="I829" s="452"/>
      <c r="J829" s="446"/>
      <c r="K829" s="447"/>
      <c r="L829" s="447"/>
      <c r="M829" s="448"/>
      <c r="N829" s="449"/>
      <c r="O829" s="449"/>
      <c r="P829" s="450"/>
      <c r="Q829" s="26"/>
      <c r="R829" s="26"/>
      <c r="S829" s="37"/>
    </row>
    <row r="830" spans="3:19" x14ac:dyDescent="0.2">
      <c r="C830" s="441">
        <v>24</v>
      </c>
      <c r="D830" s="442" t="s">
        <v>49</v>
      </c>
      <c r="E830" s="443"/>
      <c r="F830" s="444"/>
      <c r="G830" s="39" t="s">
        <v>14</v>
      </c>
      <c r="H830" s="33">
        <v>46104</v>
      </c>
      <c r="I830" s="451"/>
      <c r="J830" s="446"/>
      <c r="K830" s="447"/>
      <c r="L830" s="447"/>
      <c r="M830" s="448"/>
      <c r="N830" s="449"/>
      <c r="O830" s="449"/>
      <c r="P830" s="450"/>
      <c r="Q830" s="26"/>
      <c r="R830" s="26"/>
      <c r="S830" s="37"/>
    </row>
    <row r="831" spans="3:19" x14ac:dyDescent="0.2">
      <c r="C831" s="441">
        <v>24</v>
      </c>
      <c r="D831" s="442" t="s">
        <v>49</v>
      </c>
      <c r="E831" s="443"/>
      <c r="F831" s="444"/>
      <c r="G831" s="39" t="s">
        <v>15</v>
      </c>
      <c r="H831" s="33">
        <v>46105</v>
      </c>
      <c r="I831" s="452"/>
      <c r="J831" s="446"/>
      <c r="K831" s="447"/>
      <c r="L831" s="447"/>
      <c r="M831" s="448"/>
      <c r="N831" s="449"/>
      <c r="O831" s="449"/>
      <c r="P831" s="450"/>
      <c r="Q831" s="26"/>
      <c r="R831" s="26"/>
      <c r="S831" s="37"/>
    </row>
    <row r="832" spans="3:19" x14ac:dyDescent="0.2">
      <c r="C832" s="441">
        <v>24</v>
      </c>
      <c r="D832" s="442" t="s">
        <v>49</v>
      </c>
      <c r="E832" s="443"/>
      <c r="F832" s="444"/>
      <c r="G832" s="39" t="s">
        <v>16</v>
      </c>
      <c r="H832" s="33">
        <v>46106</v>
      </c>
      <c r="I832" s="452"/>
      <c r="J832" s="446"/>
      <c r="K832" s="447"/>
      <c r="L832" s="447"/>
      <c r="M832" s="448"/>
      <c r="N832" s="449"/>
      <c r="O832" s="449"/>
      <c r="P832" s="450"/>
      <c r="Q832" s="26"/>
      <c r="R832" s="26"/>
      <c r="S832" s="37"/>
    </row>
    <row r="833" spans="3:19" x14ac:dyDescent="0.2">
      <c r="C833" s="441">
        <v>24</v>
      </c>
      <c r="D833" s="442" t="s">
        <v>49</v>
      </c>
      <c r="E833" s="443"/>
      <c r="F833" s="444"/>
      <c r="G833" s="39" t="s">
        <v>17</v>
      </c>
      <c r="H833" s="33">
        <v>46107</v>
      </c>
      <c r="I833" s="451"/>
      <c r="J833" s="446"/>
      <c r="K833" s="447"/>
      <c r="L833" s="447"/>
      <c r="M833" s="448"/>
      <c r="N833" s="449"/>
      <c r="O833" s="449"/>
      <c r="P833" s="450"/>
      <c r="Q833" s="26"/>
      <c r="R833" s="26"/>
      <c r="S833" s="37"/>
    </row>
    <row r="834" spans="3:19" x14ac:dyDescent="0.2">
      <c r="C834" s="441">
        <v>24</v>
      </c>
      <c r="D834" s="442" t="s">
        <v>49</v>
      </c>
      <c r="E834" s="443"/>
      <c r="F834" s="444"/>
      <c r="G834" s="39" t="s">
        <v>18</v>
      </c>
      <c r="H834" s="33">
        <v>46108</v>
      </c>
      <c r="I834" s="452"/>
      <c r="J834" s="446"/>
      <c r="K834" s="447"/>
      <c r="L834" s="447"/>
      <c r="M834" s="448"/>
      <c r="N834" s="449"/>
      <c r="O834" s="449"/>
      <c r="P834" s="450"/>
      <c r="Q834" s="26"/>
      <c r="R834" s="26"/>
      <c r="S834" s="37"/>
    </row>
    <row r="835" spans="3:19" x14ac:dyDescent="0.2">
      <c r="C835" s="441">
        <v>24</v>
      </c>
      <c r="D835" s="442" t="s">
        <v>49</v>
      </c>
      <c r="E835" s="443"/>
      <c r="F835" s="444"/>
      <c r="G835" s="39" t="s">
        <v>19</v>
      </c>
      <c r="H835" s="33">
        <v>46109</v>
      </c>
      <c r="I835" s="452"/>
      <c r="J835" s="446"/>
      <c r="K835" s="447"/>
      <c r="L835" s="447"/>
      <c r="M835" s="448"/>
      <c r="N835" s="449"/>
      <c r="O835" s="449"/>
      <c r="P835" s="450"/>
      <c r="Q835" s="26"/>
      <c r="R835" s="26"/>
      <c r="S835" s="37"/>
    </row>
    <row r="836" spans="3:19" x14ac:dyDescent="0.2">
      <c r="C836" s="441">
        <v>24</v>
      </c>
      <c r="D836" s="442" t="s">
        <v>49</v>
      </c>
      <c r="E836" s="443"/>
      <c r="F836" s="444"/>
      <c r="G836" s="46" t="s">
        <v>13</v>
      </c>
      <c r="H836" s="33">
        <v>46110</v>
      </c>
      <c r="I836" s="452"/>
      <c r="J836" s="446"/>
      <c r="K836" s="447"/>
      <c r="L836" s="447"/>
      <c r="M836" s="448"/>
      <c r="N836" s="449"/>
      <c r="O836" s="449"/>
      <c r="P836" s="450"/>
      <c r="Q836" s="26"/>
      <c r="R836" s="26"/>
      <c r="S836" s="37"/>
    </row>
    <row r="837" spans="3:19" x14ac:dyDescent="0.2">
      <c r="C837" s="441">
        <v>24</v>
      </c>
      <c r="D837" s="442" t="s">
        <v>49</v>
      </c>
      <c r="E837" s="443"/>
      <c r="F837" s="444"/>
      <c r="G837" s="39" t="s">
        <v>14</v>
      </c>
      <c r="H837" s="33">
        <v>46111</v>
      </c>
      <c r="I837" s="452"/>
      <c r="J837" s="446"/>
      <c r="K837" s="447"/>
      <c r="L837" s="447"/>
      <c r="M837" s="448"/>
      <c r="N837" s="449"/>
      <c r="O837" s="449"/>
      <c r="P837" s="450"/>
      <c r="Q837" s="26"/>
      <c r="R837" s="26"/>
      <c r="S837" s="37"/>
    </row>
    <row r="838" spans="3:19" x14ac:dyDescent="0.2">
      <c r="C838" s="441">
        <v>24</v>
      </c>
      <c r="D838" s="442" t="s">
        <v>49</v>
      </c>
      <c r="E838" s="443"/>
      <c r="F838" s="444"/>
      <c r="G838" s="39" t="s">
        <v>15</v>
      </c>
      <c r="H838" s="33">
        <v>46112</v>
      </c>
      <c r="I838" s="452"/>
      <c r="J838" s="446"/>
      <c r="K838" s="447"/>
      <c r="L838" s="447"/>
      <c r="M838" s="448"/>
      <c r="N838" s="449"/>
      <c r="O838" s="449"/>
      <c r="P838" s="450"/>
      <c r="Q838" s="26"/>
      <c r="R838" s="26"/>
      <c r="S838" s="37"/>
    </row>
    <row r="839" spans="3:19" x14ac:dyDescent="0.2">
      <c r="C839" s="453"/>
      <c r="D839" s="454"/>
      <c r="E839" s="455"/>
      <c r="F839" s="455"/>
      <c r="G839" s="456"/>
      <c r="H839" s="457"/>
      <c r="I839" s="458" t="str">
        <f>D811</f>
        <v>NIZAR</v>
      </c>
      <c r="J839" s="93" t="s">
        <v>20</v>
      </c>
      <c r="K839" s="459"/>
      <c r="L839" s="459"/>
      <c r="M839" s="460">
        <f>SUM(M808:M838)</f>
        <v>5</v>
      </c>
      <c r="N839" s="460">
        <f t="shared" ref="N839:O839" si="18">SUM(N808:N838)</f>
        <v>0</v>
      </c>
      <c r="O839" s="460">
        <f t="shared" si="18"/>
        <v>0</v>
      </c>
      <c r="P839" s="450"/>
      <c r="Q839" s="26"/>
      <c r="R839" s="26"/>
      <c r="S839" s="37"/>
    </row>
    <row r="840" spans="3:19" x14ac:dyDescent="0.2">
      <c r="C840" s="461"/>
      <c r="D840" s="462"/>
      <c r="E840" s="463"/>
      <c r="F840" s="463"/>
      <c r="G840" s="464"/>
      <c r="H840" s="465"/>
      <c r="I840" s="466"/>
      <c r="J840" s="466"/>
      <c r="K840" s="465"/>
      <c r="L840" s="465"/>
      <c r="M840" s="465"/>
      <c r="N840" s="467"/>
      <c r="O840" s="467"/>
      <c r="P840" s="468"/>
      <c r="Q840" s="26"/>
      <c r="R840" s="26"/>
      <c r="S840" s="37"/>
    </row>
    <row r="841" spans="3:19" x14ac:dyDescent="0.2">
      <c r="C841" s="58"/>
      <c r="D841" s="59"/>
      <c r="E841" s="60"/>
      <c r="F841" s="60"/>
      <c r="G841" s="61"/>
      <c r="H841" s="62"/>
      <c r="I841" s="63"/>
      <c r="J841" s="63"/>
      <c r="K841" s="62"/>
      <c r="L841" s="62"/>
      <c r="M841" s="62"/>
      <c r="N841" s="64"/>
      <c r="O841" s="64"/>
      <c r="P841" s="65"/>
      <c r="Q841" s="26"/>
      <c r="R841" s="26"/>
      <c r="S841" s="37"/>
    </row>
    <row r="842" spans="3:19" x14ac:dyDescent="0.2">
      <c r="C842" s="365" t="s">
        <v>1</v>
      </c>
      <c r="D842" s="67" t="s">
        <v>2</v>
      </c>
      <c r="E842" s="68" t="s">
        <v>3</v>
      </c>
      <c r="F842" s="68" t="s">
        <v>4</v>
      </c>
      <c r="G842" s="69" t="s">
        <v>5</v>
      </c>
      <c r="H842" s="68" t="s">
        <v>6</v>
      </c>
      <c r="I842" s="70" t="s">
        <v>7</v>
      </c>
      <c r="J842" s="70" t="s">
        <v>8</v>
      </c>
      <c r="K842" s="71"/>
      <c r="L842" s="72"/>
      <c r="M842" s="72" t="s">
        <v>9</v>
      </c>
      <c r="N842" s="73" t="s">
        <v>10</v>
      </c>
      <c r="O842" s="73" t="s">
        <v>11</v>
      </c>
      <c r="P842" s="198"/>
      <c r="Q842" s="26"/>
      <c r="R842" s="26"/>
      <c r="S842" s="37"/>
    </row>
    <row r="843" spans="3:19" x14ac:dyDescent="0.2">
      <c r="C843" s="469">
        <v>25</v>
      </c>
      <c r="D843" s="470" t="s">
        <v>50</v>
      </c>
      <c r="E843" s="471"/>
      <c r="F843" s="472"/>
      <c r="G843" s="32" t="s">
        <v>13</v>
      </c>
      <c r="H843" s="33">
        <v>46082</v>
      </c>
      <c r="I843" s="473">
        <v>0.3291782407407407</v>
      </c>
      <c r="J843" s="474" t="s">
        <v>51</v>
      </c>
      <c r="K843" s="475"/>
      <c r="L843" s="475"/>
      <c r="M843" s="476"/>
      <c r="N843" s="477"/>
      <c r="O843" s="477">
        <v>1</v>
      </c>
      <c r="P843" s="478"/>
      <c r="Q843" s="26"/>
      <c r="R843" s="26"/>
      <c r="S843" s="37"/>
    </row>
    <row r="844" spans="3:19" x14ac:dyDescent="0.2">
      <c r="C844" s="469">
        <v>25</v>
      </c>
      <c r="D844" s="470" t="s">
        <v>50</v>
      </c>
      <c r="E844" s="471"/>
      <c r="F844" s="472"/>
      <c r="G844" s="29" t="s">
        <v>14</v>
      </c>
      <c r="H844" s="33">
        <v>46083</v>
      </c>
      <c r="I844" s="479"/>
      <c r="J844" s="474">
        <v>0.12577546296296296</v>
      </c>
      <c r="K844" s="475"/>
      <c r="L844" s="475"/>
      <c r="M844" s="476"/>
      <c r="N844" s="477"/>
      <c r="O844" s="477"/>
      <c r="P844" s="478"/>
      <c r="Q844" s="26"/>
      <c r="R844" s="26"/>
      <c r="S844" s="37"/>
    </row>
    <row r="845" spans="3:19" x14ac:dyDescent="0.2">
      <c r="C845" s="469">
        <v>25</v>
      </c>
      <c r="D845" s="470" t="s">
        <v>50</v>
      </c>
      <c r="E845" s="471"/>
      <c r="F845" s="472"/>
      <c r="G845" s="39" t="s">
        <v>15</v>
      </c>
      <c r="H845" s="33">
        <v>46084</v>
      </c>
      <c r="I845" s="480">
        <v>0.78729166666666661</v>
      </c>
      <c r="J845" s="474">
        <v>0.21033564814814817</v>
      </c>
      <c r="K845" s="475"/>
      <c r="L845" s="475"/>
      <c r="M845" s="476">
        <v>2</v>
      </c>
      <c r="N845" s="477"/>
      <c r="O845" s="477"/>
      <c r="P845" s="478"/>
      <c r="Q845" s="26"/>
      <c r="R845" s="26"/>
      <c r="S845" s="37"/>
    </row>
    <row r="846" spans="3:19" x14ac:dyDescent="0.2">
      <c r="C846" s="469">
        <v>25</v>
      </c>
      <c r="D846" s="470" t="s">
        <v>50</v>
      </c>
      <c r="E846" s="471"/>
      <c r="F846" s="472"/>
      <c r="G846" s="39" t="s">
        <v>16</v>
      </c>
      <c r="H846" s="33">
        <v>46085</v>
      </c>
      <c r="I846" s="480">
        <v>0.70545138888888881</v>
      </c>
      <c r="J846" s="474">
        <v>0.12704861111111113</v>
      </c>
      <c r="K846" s="475"/>
      <c r="L846" s="475"/>
      <c r="M846" s="476"/>
      <c r="N846" s="477"/>
      <c r="O846" s="477"/>
      <c r="P846" s="478"/>
      <c r="Q846" s="26"/>
      <c r="R846" s="26"/>
      <c r="S846" s="37"/>
    </row>
    <row r="847" spans="3:19" x14ac:dyDescent="0.2">
      <c r="C847" s="469">
        <v>25</v>
      </c>
      <c r="D847" s="470" t="s">
        <v>50</v>
      </c>
      <c r="E847" s="471"/>
      <c r="F847" s="472"/>
      <c r="G847" s="39" t="s">
        <v>17</v>
      </c>
      <c r="H847" s="33">
        <v>46086</v>
      </c>
      <c r="I847" s="480">
        <v>0.78748842592592594</v>
      </c>
      <c r="J847" s="474">
        <v>0.12553240740740743</v>
      </c>
      <c r="K847" s="475"/>
      <c r="L847" s="475"/>
      <c r="M847" s="476"/>
      <c r="N847" s="477"/>
      <c r="O847" s="477"/>
      <c r="P847" s="478"/>
      <c r="Q847" s="26"/>
      <c r="R847" s="26"/>
      <c r="S847" s="37"/>
    </row>
    <row r="848" spans="3:19" x14ac:dyDescent="0.2">
      <c r="C848" s="469">
        <v>25</v>
      </c>
      <c r="D848" s="470" t="s">
        <v>50</v>
      </c>
      <c r="E848" s="471"/>
      <c r="F848" s="472"/>
      <c r="G848" s="45" t="s">
        <v>18</v>
      </c>
      <c r="H848" s="33">
        <v>46087</v>
      </c>
      <c r="I848" s="480">
        <v>0.70526620370370363</v>
      </c>
      <c r="J848" s="474">
        <v>0.12640046296296295</v>
      </c>
      <c r="K848" s="475"/>
      <c r="L848" s="475"/>
      <c r="M848" s="476"/>
      <c r="N848" s="477"/>
      <c r="O848" s="477"/>
      <c r="P848" s="478"/>
      <c r="Q848" s="26"/>
      <c r="R848" s="26"/>
      <c r="S848" s="37"/>
    </row>
    <row r="849" spans="3:19" x14ac:dyDescent="0.2">
      <c r="C849" s="469">
        <v>25</v>
      </c>
      <c r="D849" s="470" t="s">
        <v>50</v>
      </c>
      <c r="E849" s="471"/>
      <c r="F849" s="472"/>
      <c r="G849" s="39" t="s">
        <v>19</v>
      </c>
      <c r="H849" s="33">
        <v>46088</v>
      </c>
      <c r="I849" s="480">
        <v>0.53384259259259259</v>
      </c>
      <c r="J849" s="474">
        <v>0.66740740740740734</v>
      </c>
      <c r="K849" s="475"/>
      <c r="L849" s="475"/>
      <c r="M849" s="476"/>
      <c r="N849" s="477"/>
      <c r="O849" s="477"/>
      <c r="P849" s="478"/>
      <c r="Q849" s="26"/>
      <c r="R849" s="26"/>
      <c r="S849" s="37"/>
    </row>
    <row r="850" spans="3:19" x14ac:dyDescent="0.25">
      <c r="C850" s="469">
        <v>25</v>
      </c>
      <c r="D850" s="470" t="s">
        <v>50</v>
      </c>
      <c r="E850" s="471"/>
      <c r="F850" s="472"/>
      <c r="G850" s="46" t="s">
        <v>13</v>
      </c>
      <c r="H850" s="33">
        <v>46089</v>
      </c>
      <c r="I850" s="479"/>
      <c r="K850" s="475"/>
      <c r="L850" s="475"/>
      <c r="M850" s="476"/>
      <c r="N850" s="477"/>
      <c r="O850" s="477"/>
      <c r="P850" s="478"/>
      <c r="Q850" s="26"/>
      <c r="R850" s="26"/>
      <c r="S850" s="37"/>
    </row>
    <row r="851" spans="3:19" x14ac:dyDescent="0.25">
      <c r="C851" s="469">
        <v>25</v>
      </c>
      <c r="D851" s="470" t="s">
        <v>50</v>
      </c>
      <c r="E851" s="471"/>
      <c r="F851" s="472"/>
      <c r="G851" s="39" t="s">
        <v>14</v>
      </c>
      <c r="H851" s="33">
        <v>46090</v>
      </c>
      <c r="I851" s="5">
        <v>0.32965277777777779</v>
      </c>
      <c r="J851" s="480">
        <v>0.80209490740740741</v>
      </c>
      <c r="K851" s="475"/>
      <c r="L851" s="475"/>
      <c r="M851" s="476">
        <v>2</v>
      </c>
      <c r="N851" s="477"/>
      <c r="O851" s="477"/>
      <c r="P851" s="478"/>
      <c r="Q851" s="26"/>
      <c r="R851" s="26"/>
      <c r="S851" s="37"/>
    </row>
    <row r="852" spans="3:19" x14ac:dyDescent="0.2">
      <c r="C852" s="469">
        <v>25</v>
      </c>
      <c r="D852" s="470" t="s">
        <v>50</v>
      </c>
      <c r="E852" s="471"/>
      <c r="F852" s="472"/>
      <c r="G852" s="39" t="s">
        <v>15</v>
      </c>
      <c r="H852" s="33">
        <v>46091</v>
      </c>
      <c r="I852" s="473">
        <v>0.32689814814814816</v>
      </c>
      <c r="J852" s="474">
        <v>0.8030787037037036</v>
      </c>
      <c r="K852" s="475"/>
      <c r="L852" s="475"/>
      <c r="M852" s="476">
        <v>2</v>
      </c>
      <c r="N852" s="477"/>
      <c r="O852" s="477"/>
      <c r="P852" s="478"/>
      <c r="Q852" s="26"/>
      <c r="R852" s="26"/>
      <c r="S852" s="37"/>
    </row>
    <row r="853" spans="3:19" x14ac:dyDescent="0.2">
      <c r="C853" s="469">
        <v>25</v>
      </c>
      <c r="D853" s="470" t="s">
        <v>50</v>
      </c>
      <c r="E853" s="471"/>
      <c r="F853" s="472"/>
      <c r="G853" s="39" t="s">
        <v>16</v>
      </c>
      <c r="H853" s="33">
        <v>46092</v>
      </c>
      <c r="I853" s="480">
        <v>0.32746527777777779</v>
      </c>
      <c r="J853" s="474">
        <v>0.70960648148148142</v>
      </c>
      <c r="K853" s="475"/>
      <c r="L853" s="475"/>
      <c r="M853" s="476"/>
      <c r="N853" s="477"/>
      <c r="O853" s="477"/>
      <c r="P853" s="478"/>
      <c r="Q853" s="26"/>
      <c r="R853" s="26"/>
      <c r="S853" s="37"/>
    </row>
    <row r="854" spans="3:19" x14ac:dyDescent="0.2">
      <c r="C854" s="469">
        <v>25</v>
      </c>
      <c r="D854" s="470" t="s">
        <v>50</v>
      </c>
      <c r="E854" s="471"/>
      <c r="F854" s="472"/>
      <c r="G854" s="39" t="s">
        <v>17</v>
      </c>
      <c r="H854" s="33">
        <v>46093</v>
      </c>
      <c r="I854" s="480">
        <v>0.32785879629629627</v>
      </c>
      <c r="J854" s="474">
        <v>0.70954861111111101</v>
      </c>
      <c r="K854" s="475"/>
      <c r="L854" s="475"/>
      <c r="M854" s="476"/>
      <c r="N854" s="477"/>
      <c r="O854" s="477"/>
      <c r="P854" s="478"/>
      <c r="Q854" s="26"/>
      <c r="R854" s="26"/>
      <c r="S854" s="37"/>
    </row>
    <row r="855" spans="3:19" x14ac:dyDescent="0.2">
      <c r="C855" s="469">
        <v>25</v>
      </c>
      <c r="D855" s="470" t="s">
        <v>50</v>
      </c>
      <c r="E855" s="471"/>
      <c r="F855" s="472"/>
      <c r="G855" s="48" t="s">
        <v>18</v>
      </c>
      <c r="H855" s="33">
        <v>46094</v>
      </c>
      <c r="I855" s="473">
        <v>0.32920138888888889</v>
      </c>
      <c r="J855" s="474">
        <v>0.70967592592592599</v>
      </c>
      <c r="K855" s="475"/>
      <c r="L855" s="475"/>
      <c r="M855" s="476"/>
      <c r="N855" s="477"/>
      <c r="O855" s="477"/>
      <c r="P855" s="478"/>
      <c r="Q855" s="26"/>
      <c r="R855" s="26"/>
      <c r="S855" s="37"/>
    </row>
    <row r="856" spans="3:19" x14ac:dyDescent="0.2">
      <c r="C856" s="469">
        <v>25</v>
      </c>
      <c r="D856" s="470" t="s">
        <v>50</v>
      </c>
      <c r="E856" s="471"/>
      <c r="F856" s="472"/>
      <c r="G856" s="39" t="s">
        <v>19</v>
      </c>
      <c r="H856" s="33">
        <v>46095</v>
      </c>
      <c r="I856" s="480">
        <v>0.32871527777777776</v>
      </c>
      <c r="J856" s="474"/>
      <c r="K856" s="475"/>
      <c r="L856" s="475"/>
      <c r="M856" s="476"/>
      <c r="N856" s="477"/>
      <c r="O856" s="477"/>
      <c r="P856" s="478"/>
      <c r="Q856" s="26"/>
      <c r="R856" s="26"/>
      <c r="S856" s="37"/>
    </row>
    <row r="857" spans="3:19" x14ac:dyDescent="0.2">
      <c r="C857" s="469">
        <v>25</v>
      </c>
      <c r="D857" s="470" t="s">
        <v>50</v>
      </c>
      <c r="E857" s="471"/>
      <c r="F857" s="472"/>
      <c r="G857" s="46" t="s">
        <v>13</v>
      </c>
      <c r="H857" s="33">
        <v>46096</v>
      </c>
      <c r="I857" s="480"/>
      <c r="J857" s="474"/>
      <c r="K857" s="475"/>
      <c r="L857" s="475"/>
      <c r="M857" s="476"/>
      <c r="N857" s="477"/>
      <c r="O857" s="477"/>
      <c r="P857" s="44"/>
      <c r="Q857" s="26"/>
      <c r="R857" s="26"/>
      <c r="S857" s="37"/>
    </row>
    <row r="858" spans="3:19" x14ac:dyDescent="0.2">
      <c r="C858" s="469">
        <v>25</v>
      </c>
      <c r="D858" s="470" t="s">
        <v>50</v>
      </c>
      <c r="E858" s="471"/>
      <c r="F858" s="472"/>
      <c r="G858" s="39" t="s">
        <v>14</v>
      </c>
      <c r="H858" s="33">
        <v>46097</v>
      </c>
      <c r="I858" s="479"/>
      <c r="J858" s="474"/>
      <c r="K858" s="475"/>
      <c r="L858" s="475"/>
      <c r="M858" s="476"/>
      <c r="N858" s="477"/>
      <c r="O858" s="477"/>
      <c r="P858" s="478"/>
      <c r="Q858" s="26"/>
      <c r="R858" s="26"/>
      <c r="S858" s="37"/>
    </row>
    <row r="859" spans="3:19" x14ac:dyDescent="0.2">
      <c r="C859" s="469">
        <v>25</v>
      </c>
      <c r="D859" s="470" t="s">
        <v>50</v>
      </c>
      <c r="E859" s="471"/>
      <c r="F859" s="472"/>
      <c r="G859" s="39" t="s">
        <v>15</v>
      </c>
      <c r="H859" s="33">
        <v>46098</v>
      </c>
      <c r="I859" s="479"/>
      <c r="J859" s="474"/>
      <c r="K859" s="475"/>
      <c r="L859" s="475"/>
      <c r="M859" s="476"/>
      <c r="N859" s="477"/>
      <c r="O859" s="477"/>
      <c r="P859" s="478"/>
      <c r="Q859" s="26"/>
      <c r="R859" s="26"/>
      <c r="S859" s="37"/>
    </row>
    <row r="860" spans="3:19" x14ac:dyDescent="0.2">
      <c r="C860" s="469">
        <v>25</v>
      </c>
      <c r="D860" s="470" t="s">
        <v>50</v>
      </c>
      <c r="E860" s="471"/>
      <c r="F860" s="472"/>
      <c r="G860" s="39" t="s">
        <v>16</v>
      </c>
      <c r="H860" s="33">
        <v>46099</v>
      </c>
      <c r="I860" s="473"/>
      <c r="J860" s="474"/>
      <c r="K860" s="475"/>
      <c r="L860" s="475"/>
      <c r="M860" s="476"/>
      <c r="N860" s="477"/>
      <c r="O860" s="477"/>
      <c r="P860" s="478"/>
      <c r="Q860" s="26"/>
      <c r="R860" s="26"/>
      <c r="S860" s="37"/>
    </row>
    <row r="861" spans="3:19" x14ac:dyDescent="0.2">
      <c r="C861" s="469">
        <v>25</v>
      </c>
      <c r="D861" s="470" t="s">
        <v>50</v>
      </c>
      <c r="E861" s="471"/>
      <c r="F861" s="472"/>
      <c r="G861" s="39" t="s">
        <v>17</v>
      </c>
      <c r="H861" s="33">
        <v>46100</v>
      </c>
      <c r="I861" s="473"/>
      <c r="J861" s="474"/>
      <c r="K861" s="475"/>
      <c r="L861" s="475"/>
      <c r="M861" s="476"/>
      <c r="N861" s="477"/>
      <c r="O861" s="477"/>
      <c r="P861" s="478"/>
      <c r="Q861" s="26"/>
      <c r="R861" s="26"/>
      <c r="S861" s="37"/>
    </row>
    <row r="862" spans="3:19" x14ac:dyDescent="0.2">
      <c r="C862" s="469">
        <v>25</v>
      </c>
      <c r="D862" s="470" t="s">
        <v>50</v>
      </c>
      <c r="E862" s="471"/>
      <c r="F862" s="472"/>
      <c r="G862" s="39" t="s">
        <v>18</v>
      </c>
      <c r="H862" s="33">
        <v>46101</v>
      </c>
      <c r="I862" s="480"/>
      <c r="J862" s="474"/>
      <c r="K862" s="475"/>
      <c r="L862" s="475"/>
      <c r="M862" s="476"/>
      <c r="N862" s="477"/>
      <c r="O862" s="477"/>
      <c r="P862" s="478"/>
      <c r="Q862" s="26"/>
      <c r="R862" s="26"/>
      <c r="S862" s="37"/>
    </row>
    <row r="863" spans="3:19" x14ac:dyDescent="0.2">
      <c r="C863" s="469">
        <v>25</v>
      </c>
      <c r="D863" s="470" t="s">
        <v>50</v>
      </c>
      <c r="E863" s="471"/>
      <c r="F863" s="472"/>
      <c r="G863" s="39" t="s">
        <v>19</v>
      </c>
      <c r="H863" s="33">
        <v>46102</v>
      </c>
      <c r="I863" s="480"/>
      <c r="J863" s="474"/>
      <c r="K863" s="475"/>
      <c r="L863" s="475"/>
      <c r="M863" s="476"/>
      <c r="N863" s="477"/>
      <c r="O863" s="477"/>
      <c r="P863" s="478"/>
      <c r="Q863" s="26"/>
      <c r="R863" s="26"/>
      <c r="S863" s="37"/>
    </row>
    <row r="864" spans="3:19" x14ac:dyDescent="0.2">
      <c r="C864" s="469">
        <v>25</v>
      </c>
      <c r="D864" s="470" t="s">
        <v>50</v>
      </c>
      <c r="E864" s="471"/>
      <c r="F864" s="472"/>
      <c r="G864" s="46" t="s">
        <v>13</v>
      </c>
      <c r="H864" s="33">
        <v>46103</v>
      </c>
      <c r="I864" s="480"/>
      <c r="J864" s="474"/>
      <c r="K864" s="475"/>
      <c r="L864" s="475"/>
      <c r="M864" s="476"/>
      <c r="N864" s="477"/>
      <c r="O864" s="477"/>
      <c r="P864" s="478"/>
      <c r="Q864" s="26"/>
      <c r="R864" s="26"/>
      <c r="S864" s="37"/>
    </row>
    <row r="865" spans="3:19" x14ac:dyDescent="0.2">
      <c r="C865" s="469">
        <v>25</v>
      </c>
      <c r="D865" s="470" t="s">
        <v>50</v>
      </c>
      <c r="E865" s="471"/>
      <c r="F865" s="472"/>
      <c r="G865" s="39" t="s">
        <v>14</v>
      </c>
      <c r="H865" s="33">
        <v>46104</v>
      </c>
      <c r="I865" s="473"/>
      <c r="J865" s="474"/>
      <c r="K865" s="475"/>
      <c r="L865" s="475"/>
      <c r="M865" s="476"/>
      <c r="N865" s="477"/>
      <c r="O865" s="477"/>
      <c r="P865" s="478"/>
      <c r="Q865" s="26"/>
      <c r="R865" s="26"/>
      <c r="S865" s="37"/>
    </row>
    <row r="866" spans="3:19" x14ac:dyDescent="0.2">
      <c r="C866" s="469">
        <v>25</v>
      </c>
      <c r="D866" s="470" t="s">
        <v>50</v>
      </c>
      <c r="E866" s="471"/>
      <c r="F866" s="472"/>
      <c r="G866" s="39" t="s">
        <v>15</v>
      </c>
      <c r="H866" s="33">
        <v>46105</v>
      </c>
      <c r="I866" s="480"/>
      <c r="J866" s="474"/>
      <c r="K866" s="475"/>
      <c r="L866" s="475"/>
      <c r="M866" s="476"/>
      <c r="N866" s="477"/>
      <c r="O866" s="477"/>
      <c r="P866" s="478"/>
      <c r="Q866" s="26"/>
      <c r="R866" s="26"/>
      <c r="S866" s="37"/>
    </row>
    <row r="867" spans="3:19" x14ac:dyDescent="0.2">
      <c r="C867" s="469">
        <v>25</v>
      </c>
      <c r="D867" s="470" t="s">
        <v>50</v>
      </c>
      <c r="E867" s="471"/>
      <c r="F867" s="472"/>
      <c r="G867" s="39" t="s">
        <v>16</v>
      </c>
      <c r="H867" s="33">
        <v>46106</v>
      </c>
      <c r="I867" s="480"/>
      <c r="J867" s="474"/>
      <c r="K867" s="475"/>
      <c r="L867" s="475"/>
      <c r="M867" s="476"/>
      <c r="N867" s="477"/>
      <c r="O867" s="477"/>
      <c r="P867" s="478"/>
      <c r="Q867" s="26"/>
      <c r="R867" s="26"/>
      <c r="S867" s="37"/>
    </row>
    <row r="868" spans="3:19" x14ac:dyDescent="0.2">
      <c r="C868" s="469">
        <v>25</v>
      </c>
      <c r="D868" s="470" t="s">
        <v>50</v>
      </c>
      <c r="E868" s="471"/>
      <c r="F868" s="472"/>
      <c r="G868" s="39" t="s">
        <v>17</v>
      </c>
      <c r="H868" s="33">
        <v>46107</v>
      </c>
      <c r="I868" s="473"/>
      <c r="J868" s="474"/>
      <c r="K868" s="475"/>
      <c r="L868" s="475"/>
      <c r="M868" s="476"/>
      <c r="N868" s="477"/>
      <c r="O868" s="477"/>
      <c r="P868" s="478"/>
      <c r="Q868" s="26"/>
      <c r="R868" s="26"/>
      <c r="S868" s="37"/>
    </row>
    <row r="869" spans="3:19" x14ac:dyDescent="0.2">
      <c r="C869" s="469">
        <v>25</v>
      </c>
      <c r="D869" s="470" t="s">
        <v>50</v>
      </c>
      <c r="E869" s="471"/>
      <c r="F869" s="472"/>
      <c r="G869" s="39" t="s">
        <v>18</v>
      </c>
      <c r="H869" s="33">
        <v>46108</v>
      </c>
      <c r="I869" s="480"/>
      <c r="J869" s="474"/>
      <c r="K869" s="475"/>
      <c r="L869" s="475"/>
      <c r="M869" s="476"/>
      <c r="N869" s="477"/>
      <c r="O869" s="477"/>
      <c r="P869" s="478"/>
      <c r="Q869" s="26"/>
      <c r="R869" s="26"/>
      <c r="S869" s="37"/>
    </row>
    <row r="870" spans="3:19" x14ac:dyDescent="0.2">
      <c r="C870" s="469">
        <v>25</v>
      </c>
      <c r="D870" s="470" t="s">
        <v>50</v>
      </c>
      <c r="E870" s="471"/>
      <c r="F870" s="472"/>
      <c r="G870" s="39" t="s">
        <v>19</v>
      </c>
      <c r="H870" s="33">
        <v>46109</v>
      </c>
      <c r="I870" s="480"/>
      <c r="J870" s="474"/>
      <c r="K870" s="475"/>
      <c r="L870" s="475"/>
      <c r="M870" s="476"/>
      <c r="N870" s="477"/>
      <c r="O870" s="477"/>
      <c r="P870" s="478"/>
      <c r="Q870" s="26"/>
      <c r="R870" s="26"/>
      <c r="S870" s="37"/>
    </row>
    <row r="871" spans="3:19" x14ac:dyDescent="0.2">
      <c r="C871" s="469">
        <v>25</v>
      </c>
      <c r="D871" s="470" t="s">
        <v>50</v>
      </c>
      <c r="E871" s="471"/>
      <c r="F871" s="472"/>
      <c r="G871" s="46" t="s">
        <v>13</v>
      </c>
      <c r="H871" s="33">
        <v>46110</v>
      </c>
      <c r="I871" s="480"/>
      <c r="J871" s="474"/>
      <c r="K871" s="475"/>
      <c r="L871" s="475"/>
      <c r="M871" s="476"/>
      <c r="N871" s="477"/>
      <c r="O871" s="477"/>
      <c r="P871" s="478"/>
      <c r="Q871" s="26"/>
      <c r="R871" s="26"/>
      <c r="S871" s="37"/>
    </row>
    <row r="872" spans="3:19" x14ac:dyDescent="0.2">
      <c r="C872" s="469">
        <v>25</v>
      </c>
      <c r="D872" s="470" t="s">
        <v>50</v>
      </c>
      <c r="E872" s="471"/>
      <c r="F872" s="472"/>
      <c r="G872" s="39" t="s">
        <v>14</v>
      </c>
      <c r="H872" s="33">
        <v>46111</v>
      </c>
      <c r="I872" s="480"/>
      <c r="J872" s="474"/>
      <c r="K872" s="475"/>
      <c r="L872" s="475"/>
      <c r="M872" s="476"/>
      <c r="N872" s="477"/>
      <c r="O872" s="477"/>
      <c r="P872" s="478"/>
      <c r="Q872" s="26"/>
      <c r="R872" s="26"/>
      <c r="S872" s="37"/>
    </row>
    <row r="873" spans="3:19" x14ac:dyDescent="0.2">
      <c r="C873" s="469">
        <v>25</v>
      </c>
      <c r="D873" s="470" t="s">
        <v>50</v>
      </c>
      <c r="E873" s="471"/>
      <c r="F873" s="472"/>
      <c r="G873" s="39" t="s">
        <v>15</v>
      </c>
      <c r="H873" s="33">
        <v>46112</v>
      </c>
      <c r="I873" s="480"/>
      <c r="J873" s="474"/>
      <c r="K873" s="475"/>
      <c r="L873" s="475"/>
      <c r="M873" s="476"/>
      <c r="N873" s="477"/>
      <c r="O873" s="477"/>
      <c r="P873" s="478"/>
      <c r="Q873" s="26"/>
      <c r="R873" s="26"/>
      <c r="S873" s="37"/>
    </row>
    <row r="874" spans="3:19" x14ac:dyDescent="0.25">
      <c r="C874" s="469"/>
      <c r="D874" s="470"/>
      <c r="E874" s="471"/>
      <c r="F874" s="472"/>
      <c r="G874" s="39"/>
      <c r="H874" s="33"/>
      <c r="I874" s="481"/>
      <c r="J874" s="481"/>
      <c r="K874" s="475"/>
      <c r="L874" s="475"/>
      <c r="M874" s="476"/>
      <c r="N874" s="477"/>
      <c r="O874" s="477"/>
      <c r="P874" s="478"/>
      <c r="Q874" s="26"/>
      <c r="R874" s="26"/>
      <c r="S874" s="37"/>
    </row>
    <row r="875" spans="3:19" x14ac:dyDescent="0.2">
      <c r="C875" s="482"/>
      <c r="D875" s="483"/>
      <c r="E875" s="484"/>
      <c r="F875" s="484"/>
      <c r="G875" s="485"/>
      <c r="H875" s="486"/>
      <c r="I875" s="487" t="str">
        <f>D846</f>
        <v>ISWANTO</v>
      </c>
      <c r="J875" s="488" t="s">
        <v>20</v>
      </c>
      <c r="K875" s="489"/>
      <c r="L875" s="489"/>
      <c r="M875" s="490">
        <f>SUM(M843:M874)</f>
        <v>6</v>
      </c>
      <c r="N875" s="490">
        <f t="shared" ref="N875:O875" si="19">SUM(N843:N874)</f>
        <v>0</v>
      </c>
      <c r="O875" s="490">
        <f t="shared" si="19"/>
        <v>1</v>
      </c>
      <c r="P875" s="478"/>
      <c r="Q875" s="26"/>
      <c r="R875" s="26"/>
      <c r="S875" s="37"/>
    </row>
    <row r="876" spans="3:19" x14ac:dyDescent="0.2">
      <c r="C876" s="491"/>
      <c r="D876" s="492"/>
      <c r="E876" s="493"/>
      <c r="F876" s="493"/>
      <c r="G876" s="494"/>
      <c r="H876" s="495"/>
      <c r="I876" s="496"/>
      <c r="J876" s="496"/>
      <c r="K876" s="495"/>
      <c r="L876" s="495"/>
      <c r="M876" s="495"/>
      <c r="N876" s="497"/>
      <c r="O876" s="497"/>
      <c r="P876" s="498"/>
      <c r="Q876" s="26"/>
      <c r="R876" s="26"/>
      <c r="S876" s="37"/>
    </row>
    <row r="877" spans="3:19" x14ac:dyDescent="0.2">
      <c r="C877" s="58"/>
      <c r="D877" s="59"/>
      <c r="E877" s="60"/>
      <c r="F877" s="60"/>
      <c r="G877" s="61"/>
      <c r="H877" s="62"/>
      <c r="I877" s="63"/>
      <c r="J877" s="63"/>
      <c r="K877" s="62"/>
      <c r="L877" s="62"/>
      <c r="M877" s="62"/>
      <c r="N877" s="64"/>
      <c r="O877" s="64"/>
      <c r="P877" s="65"/>
      <c r="Q877" s="26"/>
      <c r="R877" s="26"/>
      <c r="S877" s="37"/>
    </row>
    <row r="878" spans="3:19" x14ac:dyDescent="0.2">
      <c r="C878" s="365" t="s">
        <v>1</v>
      </c>
      <c r="D878" s="67" t="s">
        <v>2</v>
      </c>
      <c r="E878" s="68" t="s">
        <v>3</v>
      </c>
      <c r="F878" s="68" t="s">
        <v>4</v>
      </c>
      <c r="G878" s="69" t="s">
        <v>5</v>
      </c>
      <c r="H878" s="68" t="s">
        <v>6</v>
      </c>
      <c r="I878" s="70" t="s">
        <v>7</v>
      </c>
      <c r="J878" s="70" t="s">
        <v>8</v>
      </c>
      <c r="K878" s="71"/>
      <c r="L878" s="72"/>
      <c r="M878" s="72" t="s">
        <v>9</v>
      </c>
      <c r="N878" s="73" t="s">
        <v>10</v>
      </c>
      <c r="O878" s="73" t="s">
        <v>11</v>
      </c>
      <c r="P878" s="198"/>
      <c r="Q878" s="26"/>
      <c r="R878" s="26"/>
      <c r="S878" s="37"/>
    </row>
    <row r="879" spans="3:19" x14ac:dyDescent="0.2">
      <c r="C879" s="499">
        <v>26</v>
      </c>
      <c r="D879" s="500" t="s">
        <v>52</v>
      </c>
      <c r="E879" s="501"/>
      <c r="F879" s="502"/>
      <c r="G879" s="32" t="s">
        <v>13</v>
      </c>
      <c r="H879" s="33">
        <v>46082</v>
      </c>
      <c r="I879" s="503"/>
      <c r="J879" s="504"/>
      <c r="K879" s="505"/>
      <c r="L879" s="505"/>
      <c r="M879" s="506"/>
      <c r="N879" s="507"/>
      <c r="O879" s="507"/>
      <c r="P879" s="508"/>
      <c r="Q879" s="26"/>
      <c r="R879" s="26"/>
      <c r="S879" s="37"/>
    </row>
    <row r="880" spans="3:19" x14ac:dyDescent="0.2">
      <c r="C880" s="499">
        <v>26</v>
      </c>
      <c r="D880" s="500" t="s">
        <v>52</v>
      </c>
      <c r="E880" s="501"/>
      <c r="F880" s="502"/>
      <c r="G880" s="29" t="s">
        <v>14</v>
      </c>
      <c r="H880" s="33">
        <v>46083</v>
      </c>
      <c r="I880" s="509">
        <v>0.30811342592592594</v>
      </c>
      <c r="J880" s="504"/>
      <c r="K880" s="505"/>
      <c r="L880" s="505"/>
      <c r="M880" s="506"/>
      <c r="N880" s="507"/>
      <c r="O880" s="507"/>
      <c r="P880" s="508"/>
      <c r="Q880" s="26"/>
      <c r="R880" s="26"/>
      <c r="S880" s="37"/>
    </row>
    <row r="881" spans="3:19" x14ac:dyDescent="0.2">
      <c r="C881" s="499">
        <v>26</v>
      </c>
      <c r="D881" s="500" t="s">
        <v>52</v>
      </c>
      <c r="E881" s="501"/>
      <c r="F881" s="502"/>
      <c r="G881" s="39" t="s">
        <v>15</v>
      </c>
      <c r="H881" s="33">
        <v>46084</v>
      </c>
      <c r="I881" s="510">
        <v>0.30495370370370373</v>
      </c>
      <c r="J881" s="504">
        <v>0.70903935185185185</v>
      </c>
      <c r="K881" s="505"/>
      <c r="L881" s="505"/>
      <c r="M881" s="506"/>
      <c r="N881" s="507"/>
      <c r="O881" s="507"/>
      <c r="P881" s="508"/>
      <c r="Q881" s="26"/>
      <c r="R881" s="26"/>
      <c r="S881" s="37"/>
    </row>
    <row r="882" spans="3:19" x14ac:dyDescent="0.2">
      <c r="C882" s="499">
        <v>26</v>
      </c>
      <c r="D882" s="500" t="s">
        <v>52</v>
      </c>
      <c r="E882" s="501"/>
      <c r="F882" s="502"/>
      <c r="G882" s="39" t="s">
        <v>16</v>
      </c>
      <c r="H882" s="33">
        <v>46085</v>
      </c>
      <c r="I882" s="510">
        <v>0.30706018518518519</v>
      </c>
      <c r="J882" s="504">
        <v>0.71414351851851843</v>
      </c>
      <c r="K882" s="505"/>
      <c r="L882" s="505"/>
      <c r="M882" s="506"/>
      <c r="N882" s="507"/>
      <c r="O882" s="507"/>
      <c r="P882" s="508"/>
      <c r="Q882" s="26"/>
      <c r="R882" s="26"/>
      <c r="S882" s="37"/>
    </row>
    <row r="883" spans="3:19" x14ac:dyDescent="0.2">
      <c r="C883" s="499">
        <v>26</v>
      </c>
      <c r="D883" s="500" t="s">
        <v>52</v>
      </c>
      <c r="E883" s="501"/>
      <c r="F883" s="502"/>
      <c r="G883" s="39" t="s">
        <v>17</v>
      </c>
      <c r="H883" s="33">
        <v>46086</v>
      </c>
      <c r="I883" s="510">
        <v>0.32041666666666663</v>
      </c>
      <c r="J883" s="504">
        <v>0.7102546296296296</v>
      </c>
      <c r="K883" s="505"/>
      <c r="L883" s="505"/>
      <c r="M883" s="506"/>
      <c r="N883" s="507"/>
      <c r="O883" s="507"/>
      <c r="P883" s="508"/>
      <c r="Q883" s="26"/>
      <c r="R883" s="26"/>
      <c r="S883" s="37"/>
    </row>
    <row r="884" spans="3:19" x14ac:dyDescent="0.2">
      <c r="C884" s="499">
        <v>26</v>
      </c>
      <c r="D884" s="500" t="s">
        <v>52</v>
      </c>
      <c r="E884" s="501"/>
      <c r="F884" s="502"/>
      <c r="G884" s="45" t="s">
        <v>18</v>
      </c>
      <c r="H884" s="33">
        <v>46087</v>
      </c>
      <c r="I884" s="510">
        <v>0.30993055555555554</v>
      </c>
      <c r="J884" s="504">
        <v>0.70907407407407408</v>
      </c>
      <c r="K884" s="505"/>
      <c r="L884" s="505"/>
      <c r="M884" s="506"/>
      <c r="N884" s="507"/>
      <c r="O884" s="507"/>
      <c r="P884" s="508"/>
      <c r="Q884" s="26"/>
      <c r="R884" s="26"/>
      <c r="S884" s="37"/>
    </row>
    <row r="885" spans="3:19" x14ac:dyDescent="0.2">
      <c r="C885" s="499">
        <v>26</v>
      </c>
      <c r="D885" s="500" t="s">
        <v>52</v>
      </c>
      <c r="E885" s="501"/>
      <c r="F885" s="502"/>
      <c r="G885" s="39" t="s">
        <v>19</v>
      </c>
      <c r="H885" s="33">
        <v>46088</v>
      </c>
      <c r="I885" s="510">
        <v>0.30546296296296299</v>
      </c>
      <c r="J885" s="504">
        <v>0.54520833333333341</v>
      </c>
      <c r="K885" s="505"/>
      <c r="L885" s="505"/>
      <c r="M885" s="506"/>
      <c r="N885" s="507"/>
      <c r="O885" s="507"/>
      <c r="P885" s="508"/>
      <c r="Q885" s="26"/>
      <c r="R885" s="26"/>
      <c r="S885" s="37"/>
    </row>
    <row r="886" spans="3:19" x14ac:dyDescent="0.25">
      <c r="C886" s="499">
        <v>26</v>
      </c>
      <c r="D886" s="500" t="s">
        <v>52</v>
      </c>
      <c r="E886" s="501"/>
      <c r="F886" s="502"/>
      <c r="G886" s="46" t="s">
        <v>13</v>
      </c>
      <c r="H886" s="33">
        <v>46089</v>
      </c>
      <c r="I886" s="503"/>
      <c r="K886" s="505"/>
      <c r="L886" s="505"/>
      <c r="M886" s="506"/>
      <c r="N886" s="507"/>
      <c r="O886" s="507"/>
      <c r="P886" s="508"/>
      <c r="Q886" s="26"/>
      <c r="R886" s="26"/>
      <c r="S886" s="37"/>
    </row>
    <row r="887" spans="3:19" x14ac:dyDescent="0.25">
      <c r="C887" s="499">
        <v>26</v>
      </c>
      <c r="D887" s="500" t="s">
        <v>52</v>
      </c>
      <c r="E887" s="501"/>
      <c r="F887" s="502"/>
      <c r="G887" s="39" t="s">
        <v>14</v>
      </c>
      <c r="H887" s="33">
        <v>46090</v>
      </c>
      <c r="I887" s="5">
        <v>0.75119212962962967</v>
      </c>
      <c r="J887" s="510">
        <v>0.12553240740740743</v>
      </c>
      <c r="K887" s="505"/>
      <c r="L887" s="505"/>
      <c r="M887" s="506"/>
      <c r="N887" s="507"/>
      <c r="O887" s="507"/>
      <c r="P887" s="508"/>
      <c r="Q887" s="26"/>
      <c r="R887" s="26"/>
      <c r="S887" s="37"/>
    </row>
    <row r="888" spans="3:19" x14ac:dyDescent="0.2">
      <c r="C888" s="499">
        <v>26</v>
      </c>
      <c r="D888" s="500" t="s">
        <v>52</v>
      </c>
      <c r="E888" s="501"/>
      <c r="F888" s="502"/>
      <c r="G888" s="39" t="s">
        <v>15</v>
      </c>
      <c r="H888" s="33">
        <v>46091</v>
      </c>
      <c r="I888" s="509">
        <v>0.7649421296296296</v>
      </c>
      <c r="J888" s="504">
        <v>0.12636574074074072</v>
      </c>
      <c r="K888" s="505"/>
      <c r="L888" s="505"/>
      <c r="M888" s="506"/>
      <c r="N888" s="507"/>
      <c r="O888" s="507"/>
      <c r="P888" s="508"/>
      <c r="Q888" s="26"/>
      <c r="R888" s="26"/>
      <c r="S888" s="37"/>
    </row>
    <row r="889" spans="3:19" x14ac:dyDescent="0.2">
      <c r="C889" s="499">
        <v>26</v>
      </c>
      <c r="D889" s="500" t="s">
        <v>52</v>
      </c>
      <c r="E889" s="501"/>
      <c r="F889" s="502"/>
      <c r="G889" s="39" t="s">
        <v>16</v>
      </c>
      <c r="H889" s="33">
        <v>46092</v>
      </c>
      <c r="I889" s="510">
        <v>0.73346064814814815</v>
      </c>
      <c r="J889" s="504">
        <v>0.12533564814814815</v>
      </c>
      <c r="K889" s="505"/>
      <c r="L889" s="505"/>
      <c r="M889" s="506"/>
      <c r="N889" s="507"/>
      <c r="O889" s="507"/>
      <c r="P889" s="508"/>
      <c r="Q889" s="26"/>
      <c r="R889" s="26"/>
      <c r="S889" s="37"/>
    </row>
    <row r="890" spans="3:19" x14ac:dyDescent="0.2">
      <c r="C890" s="499">
        <v>26</v>
      </c>
      <c r="D890" s="500" t="s">
        <v>52</v>
      </c>
      <c r="E890" s="501"/>
      <c r="F890" s="502"/>
      <c r="G890" s="39" t="s">
        <v>17</v>
      </c>
      <c r="H890" s="33">
        <v>46093</v>
      </c>
      <c r="I890" s="510">
        <v>0.70331018518518518</v>
      </c>
      <c r="J890" s="504">
        <v>5.2106481481481483E-2</v>
      </c>
      <c r="K890" s="505"/>
      <c r="L890" s="505"/>
      <c r="M890" s="506"/>
      <c r="N890" s="507"/>
      <c r="O890" s="507"/>
      <c r="P890" s="508"/>
      <c r="Q890" s="26"/>
      <c r="R890" s="26"/>
      <c r="S890" s="37"/>
    </row>
    <row r="891" spans="3:19" x14ac:dyDescent="0.2">
      <c r="C891" s="499">
        <v>26</v>
      </c>
      <c r="D891" s="500" t="s">
        <v>52</v>
      </c>
      <c r="E891" s="501"/>
      <c r="F891" s="502"/>
      <c r="G891" s="48" t="s">
        <v>18</v>
      </c>
      <c r="H891" s="33">
        <v>46094</v>
      </c>
      <c r="I891" s="509">
        <v>0.70562499999999995</v>
      </c>
      <c r="J891" s="504">
        <v>5.2094907407407409E-2</v>
      </c>
      <c r="K891" s="505"/>
      <c r="L891" s="505"/>
      <c r="M891" s="506"/>
      <c r="N891" s="507"/>
      <c r="O891" s="507"/>
      <c r="P891" s="508"/>
      <c r="Q891" s="26"/>
      <c r="R891" s="26"/>
      <c r="S891" s="37"/>
    </row>
    <row r="892" spans="3:19" x14ac:dyDescent="0.2">
      <c r="C892" s="499">
        <v>26</v>
      </c>
      <c r="D892" s="500" t="s">
        <v>52</v>
      </c>
      <c r="E892" s="501"/>
      <c r="F892" s="502"/>
      <c r="G892" s="39" t="s">
        <v>19</v>
      </c>
      <c r="H892" s="33">
        <v>46095</v>
      </c>
      <c r="I892" s="510"/>
      <c r="J892" s="504"/>
      <c r="K892" s="505"/>
      <c r="L892" s="505"/>
      <c r="M892" s="506"/>
      <c r="N892" s="507"/>
      <c r="O892" s="507"/>
      <c r="P892" s="508"/>
      <c r="Q892" s="26"/>
      <c r="R892" s="26"/>
      <c r="S892" s="37"/>
    </row>
    <row r="893" spans="3:19" x14ac:dyDescent="0.2">
      <c r="C893" s="499">
        <v>26</v>
      </c>
      <c r="D893" s="500" t="s">
        <v>52</v>
      </c>
      <c r="E893" s="501"/>
      <c r="F893" s="502"/>
      <c r="G893" s="46" t="s">
        <v>13</v>
      </c>
      <c r="H893" s="33">
        <v>46096</v>
      </c>
      <c r="I893" s="510"/>
      <c r="J893" s="504"/>
      <c r="K893" s="505"/>
      <c r="L893" s="505"/>
      <c r="M893" s="506"/>
      <c r="N893" s="507"/>
      <c r="O893" s="507"/>
      <c r="P893" s="44"/>
      <c r="Q893" s="26"/>
      <c r="R893" s="26"/>
      <c r="S893" s="37"/>
    </row>
    <row r="894" spans="3:19" x14ac:dyDescent="0.2">
      <c r="C894" s="499">
        <v>26</v>
      </c>
      <c r="D894" s="500" t="s">
        <v>52</v>
      </c>
      <c r="E894" s="501"/>
      <c r="F894" s="502"/>
      <c r="G894" s="39" t="s">
        <v>14</v>
      </c>
      <c r="H894" s="33">
        <v>46097</v>
      </c>
      <c r="I894" s="503"/>
      <c r="J894" s="504"/>
      <c r="K894" s="505"/>
      <c r="L894" s="505"/>
      <c r="M894" s="506"/>
      <c r="N894" s="507"/>
      <c r="O894" s="507"/>
      <c r="P894" s="508"/>
      <c r="Q894" s="26"/>
      <c r="R894" s="26"/>
      <c r="S894" s="37"/>
    </row>
    <row r="895" spans="3:19" x14ac:dyDescent="0.2">
      <c r="C895" s="499">
        <v>26</v>
      </c>
      <c r="D895" s="500" t="s">
        <v>52</v>
      </c>
      <c r="E895" s="501"/>
      <c r="F895" s="502"/>
      <c r="G895" s="39" t="s">
        <v>15</v>
      </c>
      <c r="H895" s="33">
        <v>46098</v>
      </c>
      <c r="I895" s="503"/>
      <c r="J895" s="504"/>
      <c r="K895" s="505"/>
      <c r="L895" s="505"/>
      <c r="M895" s="506"/>
      <c r="N895" s="507"/>
      <c r="O895" s="507"/>
      <c r="P895" s="508"/>
      <c r="Q895" s="26"/>
      <c r="R895" s="26"/>
      <c r="S895" s="37"/>
    </row>
    <row r="896" spans="3:19" x14ac:dyDescent="0.2">
      <c r="C896" s="499">
        <v>26</v>
      </c>
      <c r="D896" s="500" t="s">
        <v>52</v>
      </c>
      <c r="E896" s="501"/>
      <c r="F896" s="502"/>
      <c r="G896" s="39" t="s">
        <v>16</v>
      </c>
      <c r="H896" s="33">
        <v>46099</v>
      </c>
      <c r="I896" s="509"/>
      <c r="J896" s="504"/>
      <c r="K896" s="505"/>
      <c r="L896" s="505"/>
      <c r="M896" s="506"/>
      <c r="N896" s="507"/>
      <c r="O896" s="507"/>
      <c r="P896" s="508"/>
      <c r="Q896" s="26"/>
      <c r="R896" s="26"/>
      <c r="S896" s="37"/>
    </row>
    <row r="897" spans="3:19" x14ac:dyDescent="0.2">
      <c r="C897" s="499">
        <v>26</v>
      </c>
      <c r="D897" s="500" t="s">
        <v>52</v>
      </c>
      <c r="E897" s="501"/>
      <c r="F897" s="502"/>
      <c r="G897" s="39" t="s">
        <v>17</v>
      </c>
      <c r="H897" s="33">
        <v>46100</v>
      </c>
      <c r="I897" s="509"/>
      <c r="J897" s="504"/>
      <c r="K897" s="505"/>
      <c r="L897" s="505"/>
      <c r="M897" s="506"/>
      <c r="N897" s="507"/>
      <c r="O897" s="507"/>
      <c r="P897" s="508"/>
      <c r="Q897" s="26"/>
      <c r="R897" s="26"/>
      <c r="S897" s="37"/>
    </row>
    <row r="898" spans="3:19" x14ac:dyDescent="0.2">
      <c r="C898" s="499">
        <v>26</v>
      </c>
      <c r="D898" s="500" t="s">
        <v>52</v>
      </c>
      <c r="E898" s="501"/>
      <c r="F898" s="502"/>
      <c r="G898" s="39" t="s">
        <v>18</v>
      </c>
      <c r="H898" s="33">
        <v>46101</v>
      </c>
      <c r="I898" s="510"/>
      <c r="J898" s="504"/>
      <c r="K898" s="505"/>
      <c r="L898" s="505"/>
      <c r="M898" s="506"/>
      <c r="N898" s="507"/>
      <c r="O898" s="507"/>
      <c r="P898" s="508"/>
      <c r="Q898" s="26"/>
      <c r="R898" s="26"/>
      <c r="S898" s="37"/>
    </row>
    <row r="899" spans="3:19" x14ac:dyDescent="0.2">
      <c r="C899" s="499">
        <v>26</v>
      </c>
      <c r="D899" s="500" t="s">
        <v>52</v>
      </c>
      <c r="E899" s="501"/>
      <c r="F899" s="502"/>
      <c r="G899" s="39" t="s">
        <v>19</v>
      </c>
      <c r="H899" s="33">
        <v>46102</v>
      </c>
      <c r="I899" s="510"/>
      <c r="J899" s="504"/>
      <c r="K899" s="505"/>
      <c r="L899" s="505"/>
      <c r="M899" s="506"/>
      <c r="N899" s="507"/>
      <c r="O899" s="507"/>
      <c r="P899" s="508"/>
      <c r="Q899" s="26"/>
      <c r="R899" s="26"/>
      <c r="S899" s="37"/>
    </row>
    <row r="900" spans="3:19" x14ac:dyDescent="0.2">
      <c r="C900" s="499">
        <v>26</v>
      </c>
      <c r="D900" s="500" t="s">
        <v>52</v>
      </c>
      <c r="E900" s="501"/>
      <c r="F900" s="502"/>
      <c r="G900" s="46" t="s">
        <v>13</v>
      </c>
      <c r="H900" s="33">
        <v>46103</v>
      </c>
      <c r="I900" s="510"/>
      <c r="J900" s="504"/>
      <c r="K900" s="505"/>
      <c r="L900" s="505"/>
      <c r="M900" s="506"/>
      <c r="N900" s="507"/>
      <c r="O900" s="507"/>
      <c r="P900" s="508"/>
      <c r="Q900" s="26"/>
      <c r="R900" s="26"/>
      <c r="S900" s="37"/>
    </row>
    <row r="901" spans="3:19" x14ac:dyDescent="0.2">
      <c r="C901" s="499">
        <v>26</v>
      </c>
      <c r="D901" s="500" t="s">
        <v>52</v>
      </c>
      <c r="E901" s="501"/>
      <c r="F901" s="502"/>
      <c r="G901" s="39" t="s">
        <v>14</v>
      </c>
      <c r="H901" s="33">
        <v>46104</v>
      </c>
      <c r="I901" s="509"/>
      <c r="J901" s="504"/>
      <c r="K901" s="505"/>
      <c r="L901" s="505"/>
      <c r="M901" s="506"/>
      <c r="N901" s="507"/>
      <c r="O901" s="507"/>
      <c r="P901" s="508"/>
      <c r="Q901" s="26"/>
      <c r="R901" s="26"/>
      <c r="S901" s="37"/>
    </row>
    <row r="902" spans="3:19" x14ac:dyDescent="0.2">
      <c r="C902" s="499">
        <v>26</v>
      </c>
      <c r="D902" s="500" t="s">
        <v>52</v>
      </c>
      <c r="E902" s="501"/>
      <c r="F902" s="502"/>
      <c r="G902" s="39" t="s">
        <v>15</v>
      </c>
      <c r="H902" s="33">
        <v>46105</v>
      </c>
      <c r="I902" s="510"/>
      <c r="J902" s="504"/>
      <c r="K902" s="505"/>
      <c r="L902" s="505"/>
      <c r="M902" s="506"/>
      <c r="N902" s="507"/>
      <c r="O902" s="507"/>
      <c r="P902" s="508"/>
      <c r="Q902" s="26"/>
      <c r="R902" s="26"/>
      <c r="S902" s="37"/>
    </row>
    <row r="903" spans="3:19" x14ac:dyDescent="0.2">
      <c r="C903" s="499">
        <v>26</v>
      </c>
      <c r="D903" s="500" t="s">
        <v>52</v>
      </c>
      <c r="E903" s="501"/>
      <c r="F903" s="502"/>
      <c r="G903" s="39" t="s">
        <v>16</v>
      </c>
      <c r="H903" s="33">
        <v>46106</v>
      </c>
      <c r="I903" s="510"/>
      <c r="J903" s="504"/>
      <c r="K903" s="505"/>
      <c r="L903" s="505"/>
      <c r="M903" s="506"/>
      <c r="N903" s="507"/>
      <c r="O903" s="507"/>
      <c r="P903" s="508"/>
      <c r="Q903" s="26"/>
      <c r="R903" s="26"/>
      <c r="S903" s="37"/>
    </row>
    <row r="904" spans="3:19" x14ac:dyDescent="0.2">
      <c r="C904" s="499">
        <v>26</v>
      </c>
      <c r="D904" s="500" t="s">
        <v>52</v>
      </c>
      <c r="E904" s="501"/>
      <c r="F904" s="502"/>
      <c r="G904" s="39" t="s">
        <v>17</v>
      </c>
      <c r="H904" s="33">
        <v>46107</v>
      </c>
      <c r="I904" s="509"/>
      <c r="J904" s="504"/>
      <c r="K904" s="505"/>
      <c r="L904" s="505"/>
      <c r="M904" s="506"/>
      <c r="N904" s="507"/>
      <c r="O904" s="507"/>
      <c r="P904" s="508"/>
      <c r="Q904" s="26"/>
      <c r="R904" s="26"/>
      <c r="S904" s="37"/>
    </row>
    <row r="905" spans="3:19" x14ac:dyDescent="0.2">
      <c r="C905" s="499">
        <v>26</v>
      </c>
      <c r="D905" s="500" t="s">
        <v>52</v>
      </c>
      <c r="E905" s="501"/>
      <c r="F905" s="502"/>
      <c r="G905" s="39" t="s">
        <v>18</v>
      </c>
      <c r="H905" s="33">
        <v>46108</v>
      </c>
      <c r="I905" s="510"/>
      <c r="J905" s="504"/>
      <c r="K905" s="505"/>
      <c r="L905" s="505"/>
      <c r="M905" s="506"/>
      <c r="N905" s="507"/>
      <c r="O905" s="507"/>
      <c r="P905" s="508"/>
      <c r="Q905" s="26"/>
      <c r="R905" s="26"/>
      <c r="S905" s="37"/>
    </row>
    <row r="906" spans="3:19" x14ac:dyDescent="0.2">
      <c r="C906" s="499">
        <v>26</v>
      </c>
      <c r="D906" s="500" t="s">
        <v>52</v>
      </c>
      <c r="E906" s="501"/>
      <c r="F906" s="502"/>
      <c r="G906" s="39" t="s">
        <v>19</v>
      </c>
      <c r="H906" s="33">
        <v>46109</v>
      </c>
      <c r="I906" s="510"/>
      <c r="J906" s="504"/>
      <c r="K906" s="505"/>
      <c r="L906" s="505"/>
      <c r="M906" s="506"/>
      <c r="N906" s="507"/>
      <c r="O906" s="507"/>
      <c r="P906" s="508"/>
      <c r="Q906" s="26"/>
      <c r="R906" s="26"/>
      <c r="S906" s="37"/>
    </row>
    <row r="907" spans="3:19" x14ac:dyDescent="0.2">
      <c r="C907" s="499">
        <v>26</v>
      </c>
      <c r="D907" s="500" t="s">
        <v>52</v>
      </c>
      <c r="E907" s="501"/>
      <c r="F907" s="502"/>
      <c r="G907" s="46" t="s">
        <v>13</v>
      </c>
      <c r="H907" s="33">
        <v>46110</v>
      </c>
      <c r="I907" s="510"/>
      <c r="J907" s="504"/>
      <c r="K907" s="505"/>
      <c r="L907" s="505"/>
      <c r="M907" s="506"/>
      <c r="N907" s="507"/>
      <c r="O907" s="507"/>
      <c r="P907" s="508"/>
      <c r="Q907" s="26"/>
      <c r="R907" s="26"/>
      <c r="S907" s="37"/>
    </row>
    <row r="908" spans="3:19" x14ac:dyDescent="0.2">
      <c r="C908" s="499">
        <v>26</v>
      </c>
      <c r="D908" s="500" t="s">
        <v>52</v>
      </c>
      <c r="E908" s="501"/>
      <c r="F908" s="502"/>
      <c r="G908" s="39" t="s">
        <v>14</v>
      </c>
      <c r="H908" s="33">
        <v>46111</v>
      </c>
      <c r="I908" s="510"/>
      <c r="J908" s="504"/>
      <c r="K908" s="505"/>
      <c r="L908" s="505"/>
      <c r="M908" s="506"/>
      <c r="N908" s="507"/>
      <c r="O908" s="507"/>
      <c r="P908" s="508"/>
      <c r="Q908" s="26"/>
      <c r="R908" s="26"/>
      <c r="S908" s="37"/>
    </row>
    <row r="909" spans="3:19" x14ac:dyDescent="0.2">
      <c r="C909" s="499">
        <v>26</v>
      </c>
      <c r="D909" s="500" t="s">
        <v>52</v>
      </c>
      <c r="E909" s="501"/>
      <c r="F909" s="502"/>
      <c r="G909" s="39" t="s">
        <v>15</v>
      </c>
      <c r="H909" s="33">
        <v>46112</v>
      </c>
      <c r="I909" s="510"/>
      <c r="J909" s="504"/>
      <c r="K909" s="505"/>
      <c r="L909" s="505"/>
      <c r="M909" s="506"/>
      <c r="N909" s="507"/>
      <c r="O909" s="507"/>
      <c r="P909" s="508"/>
      <c r="Q909" s="26"/>
      <c r="R909" s="26"/>
      <c r="S909" s="37"/>
    </row>
    <row r="910" spans="3:19" x14ac:dyDescent="0.2">
      <c r="C910" s="499"/>
      <c r="D910" s="500"/>
      <c r="E910" s="501"/>
      <c r="F910" s="502"/>
      <c r="G910" s="39"/>
      <c r="H910" s="33"/>
      <c r="I910" s="504"/>
      <c r="J910" s="504"/>
      <c r="K910" s="511"/>
      <c r="L910" s="512"/>
      <c r="M910" s="506"/>
      <c r="N910" s="507"/>
      <c r="O910" s="507"/>
      <c r="P910" s="508"/>
      <c r="Q910" s="26"/>
      <c r="R910" s="26"/>
      <c r="S910" s="37"/>
    </row>
    <row r="911" spans="3:19" x14ac:dyDescent="0.2">
      <c r="C911" s="499"/>
      <c r="D911" s="500"/>
      <c r="E911" s="501"/>
      <c r="F911" s="502"/>
      <c r="G911" s="39"/>
      <c r="H911" s="33"/>
      <c r="I911" s="504"/>
      <c r="J911" s="504"/>
      <c r="K911" s="511"/>
      <c r="L911" s="512"/>
      <c r="M911" s="506"/>
      <c r="N911" s="507"/>
      <c r="O911" s="507"/>
      <c r="P911" s="508"/>
      <c r="Q911" s="26"/>
      <c r="R911" s="26"/>
      <c r="S911" s="37"/>
    </row>
    <row r="912" spans="3:19" x14ac:dyDescent="0.2">
      <c r="C912" s="513"/>
      <c r="D912" s="514"/>
      <c r="E912" s="515"/>
      <c r="F912" s="515"/>
      <c r="G912" s="516"/>
      <c r="H912" s="517"/>
      <c r="I912" s="518" t="str">
        <f>D882</f>
        <v>HABIB MAULANA N</v>
      </c>
      <c r="J912" s="519" t="s">
        <v>20</v>
      </c>
      <c r="K912" s="520"/>
      <c r="L912" s="520"/>
      <c r="M912" s="521">
        <f>SUM(M879:M911)</f>
        <v>0</v>
      </c>
      <c r="N912" s="521">
        <f t="shared" ref="N912:O912" si="20">SUM(N879:N911)</f>
        <v>0</v>
      </c>
      <c r="O912" s="521">
        <f t="shared" si="20"/>
        <v>0</v>
      </c>
      <c r="P912" s="508"/>
      <c r="Q912" s="26"/>
      <c r="R912" s="26"/>
      <c r="S912" s="37"/>
    </row>
    <row r="913" spans="3:19" x14ac:dyDescent="0.2">
      <c r="C913" s="522"/>
      <c r="D913" s="523"/>
      <c r="E913" s="524"/>
      <c r="F913" s="524"/>
      <c r="G913" s="525"/>
      <c r="H913" s="526"/>
      <c r="I913" s="527"/>
      <c r="J913" s="527"/>
      <c r="K913" s="526"/>
      <c r="L913" s="526"/>
      <c r="M913" s="526"/>
      <c r="N913" s="528"/>
      <c r="O913" s="528"/>
      <c r="P913" s="529"/>
      <c r="Q913" s="26"/>
      <c r="R913" s="26"/>
      <c r="S913" s="37"/>
    </row>
    <row r="914" spans="3:19" x14ac:dyDescent="0.2">
      <c r="C914" s="58"/>
      <c r="D914" s="59"/>
      <c r="E914" s="60"/>
      <c r="F914" s="60"/>
      <c r="G914" s="61"/>
      <c r="H914" s="62"/>
      <c r="I914" s="63"/>
      <c r="J914" s="63"/>
      <c r="K914" s="62"/>
      <c r="L914" s="62"/>
      <c r="M914" s="62"/>
      <c r="N914" s="64"/>
      <c r="O914" s="64"/>
      <c r="P914" s="65"/>
      <c r="Q914" s="26"/>
      <c r="R914" s="26"/>
      <c r="S914" s="37"/>
    </row>
    <row r="915" spans="3:19" x14ac:dyDescent="0.2">
      <c r="C915" s="365" t="s">
        <v>1</v>
      </c>
      <c r="D915" s="67" t="s">
        <v>2</v>
      </c>
      <c r="E915" s="68" t="s">
        <v>3</v>
      </c>
      <c r="F915" s="68" t="s">
        <v>4</v>
      </c>
      <c r="G915" s="69" t="s">
        <v>5</v>
      </c>
      <c r="H915" s="68" t="s">
        <v>6</v>
      </c>
      <c r="I915" s="70" t="s">
        <v>7</v>
      </c>
      <c r="J915" s="70" t="s">
        <v>8</v>
      </c>
      <c r="K915" s="71"/>
      <c r="L915" s="72"/>
      <c r="M915" s="72" t="s">
        <v>9</v>
      </c>
      <c r="N915" s="73" t="s">
        <v>10</v>
      </c>
      <c r="O915" s="73" t="s">
        <v>11</v>
      </c>
      <c r="P915" s="198"/>
      <c r="Q915" s="26"/>
      <c r="R915" s="26"/>
      <c r="S915" s="37"/>
    </row>
    <row r="916" spans="3:19" x14ac:dyDescent="0.2">
      <c r="C916" s="530">
        <v>27</v>
      </c>
      <c r="D916" s="531" t="s">
        <v>53</v>
      </c>
      <c r="E916" s="532"/>
      <c r="F916" s="533"/>
      <c r="G916" s="32" t="s">
        <v>13</v>
      </c>
      <c r="H916" s="33">
        <v>46082</v>
      </c>
      <c r="I916" s="534"/>
      <c r="J916" s="535"/>
      <c r="K916" s="536"/>
      <c r="L916" s="536"/>
      <c r="M916" s="537"/>
      <c r="N916" s="538"/>
      <c r="O916" s="538"/>
      <c r="P916" s="539"/>
      <c r="Q916" s="26"/>
      <c r="R916" s="26"/>
      <c r="S916" s="37"/>
    </row>
    <row r="917" spans="3:19" x14ac:dyDescent="0.2">
      <c r="C917" s="530">
        <v>27</v>
      </c>
      <c r="D917" s="531" t="s">
        <v>53</v>
      </c>
      <c r="E917" s="532"/>
      <c r="F917" s="533"/>
      <c r="G917" s="29" t="s">
        <v>14</v>
      </c>
      <c r="H917" s="33">
        <v>46083</v>
      </c>
      <c r="I917" s="540">
        <v>0.31460648148148146</v>
      </c>
      <c r="J917" s="535"/>
      <c r="K917" s="536"/>
      <c r="L917" s="536"/>
      <c r="M917" s="537"/>
      <c r="N917" s="538"/>
      <c r="O917" s="538"/>
      <c r="P917" s="539"/>
      <c r="Q917" s="26"/>
      <c r="R917" s="26"/>
      <c r="S917" s="37"/>
    </row>
    <row r="918" spans="3:19" x14ac:dyDescent="0.2">
      <c r="C918" s="530">
        <v>27</v>
      </c>
      <c r="D918" s="531" t="s">
        <v>53</v>
      </c>
      <c r="E918" s="532"/>
      <c r="F918" s="533"/>
      <c r="G918" s="39" t="s">
        <v>15</v>
      </c>
      <c r="H918" s="33">
        <v>46084</v>
      </c>
      <c r="I918" s="541">
        <v>0.31077546296296293</v>
      </c>
      <c r="J918" s="535">
        <v>0.71121527777777782</v>
      </c>
      <c r="K918" s="536"/>
      <c r="L918" s="536"/>
      <c r="M918" s="537"/>
      <c r="N918" s="538"/>
      <c r="O918" s="538"/>
      <c r="P918" s="539"/>
      <c r="Q918" s="26"/>
      <c r="R918" s="26"/>
      <c r="S918" s="37"/>
    </row>
    <row r="919" spans="3:19" x14ac:dyDescent="0.2">
      <c r="C919" s="530">
        <v>27</v>
      </c>
      <c r="D919" s="531" t="s">
        <v>53</v>
      </c>
      <c r="E919" s="532"/>
      <c r="F919" s="533"/>
      <c r="G919" s="39" t="s">
        <v>16</v>
      </c>
      <c r="H919" s="33">
        <v>46085</v>
      </c>
      <c r="I919" s="541">
        <v>0.30731481481481482</v>
      </c>
      <c r="J919" s="535"/>
      <c r="K919" s="536"/>
      <c r="L919" s="536"/>
      <c r="M919" s="537"/>
      <c r="N919" s="538"/>
      <c r="O919" s="538"/>
      <c r="P919" s="539"/>
      <c r="Q919" s="26"/>
      <c r="R919" s="26"/>
      <c r="S919" s="37"/>
    </row>
    <row r="920" spans="3:19" x14ac:dyDescent="0.2">
      <c r="C920" s="530">
        <v>27</v>
      </c>
      <c r="D920" s="531" t="s">
        <v>53</v>
      </c>
      <c r="E920" s="532"/>
      <c r="F920" s="533"/>
      <c r="G920" s="39" t="s">
        <v>17</v>
      </c>
      <c r="H920" s="33">
        <v>46086</v>
      </c>
      <c r="I920" s="541">
        <v>0.30773148148148149</v>
      </c>
      <c r="J920" s="535">
        <v>0.71018518518518514</v>
      </c>
      <c r="K920" s="536"/>
      <c r="L920" s="536"/>
      <c r="M920" s="537"/>
      <c r="N920" s="538"/>
      <c r="O920" s="538"/>
      <c r="P920" s="539"/>
      <c r="Q920" s="26"/>
      <c r="R920" s="26"/>
      <c r="S920" s="37"/>
    </row>
    <row r="921" spans="3:19" x14ac:dyDescent="0.2">
      <c r="C921" s="530">
        <v>27</v>
      </c>
      <c r="D921" s="531" t="s">
        <v>53</v>
      </c>
      <c r="E921" s="532"/>
      <c r="F921" s="533"/>
      <c r="G921" s="45" t="s">
        <v>18</v>
      </c>
      <c r="H921" s="33">
        <v>46087</v>
      </c>
      <c r="I921" s="541">
        <v>0.31184027777777779</v>
      </c>
      <c r="J921" s="535">
        <v>0.70961805555555557</v>
      </c>
      <c r="K921" s="536"/>
      <c r="L921" s="536"/>
      <c r="M921" s="537"/>
      <c r="N921" s="538"/>
      <c r="O921" s="538"/>
      <c r="P921" s="539"/>
      <c r="Q921" s="26"/>
      <c r="R921" s="26"/>
      <c r="S921" s="37"/>
    </row>
    <row r="922" spans="3:19" x14ac:dyDescent="0.2">
      <c r="C922" s="530">
        <v>27</v>
      </c>
      <c r="D922" s="531" t="s">
        <v>53</v>
      </c>
      <c r="E922" s="532"/>
      <c r="F922" s="533"/>
      <c r="G922" s="39" t="s">
        <v>19</v>
      </c>
      <c r="H922" s="33">
        <v>46088</v>
      </c>
      <c r="I922" s="541">
        <v>0.31124999999999997</v>
      </c>
      <c r="J922" s="535">
        <v>0.56077546296296299</v>
      </c>
      <c r="K922" s="536"/>
      <c r="L922" s="536"/>
      <c r="M922" s="537"/>
      <c r="N922" s="538"/>
      <c r="O922" s="538"/>
      <c r="P922" s="539"/>
      <c r="Q922" s="26"/>
      <c r="R922" s="26"/>
      <c r="S922" s="37"/>
    </row>
    <row r="923" spans="3:19" x14ac:dyDescent="0.25">
      <c r="C923" s="530">
        <v>27</v>
      </c>
      <c r="D923" s="531" t="s">
        <v>53</v>
      </c>
      <c r="E923" s="532"/>
      <c r="F923" s="533"/>
      <c r="G923" s="46" t="s">
        <v>13</v>
      </c>
      <c r="H923" s="33">
        <v>46089</v>
      </c>
      <c r="I923" s="534"/>
      <c r="K923" s="536"/>
      <c r="L923" s="536"/>
      <c r="M923" s="537"/>
      <c r="N923" s="538"/>
      <c r="O923" s="538"/>
      <c r="P923" s="539"/>
      <c r="Q923" s="26"/>
      <c r="R923" s="26"/>
      <c r="S923" s="37"/>
    </row>
    <row r="924" spans="3:19" x14ac:dyDescent="0.25">
      <c r="C924" s="530">
        <v>27</v>
      </c>
      <c r="D924" s="531" t="s">
        <v>53</v>
      </c>
      <c r="E924" s="532"/>
      <c r="F924" s="533"/>
      <c r="G924" s="39" t="s">
        <v>14</v>
      </c>
      <c r="H924" s="33">
        <v>46090</v>
      </c>
      <c r="I924" s="5">
        <v>0.31719907407407405</v>
      </c>
      <c r="J924" s="541">
        <v>0.70951388888888889</v>
      </c>
      <c r="K924" s="536"/>
      <c r="L924" s="536"/>
      <c r="M924" s="537"/>
      <c r="N924" s="538"/>
      <c r="O924" s="538"/>
      <c r="P924" s="539"/>
      <c r="Q924" s="26"/>
      <c r="R924" s="26"/>
      <c r="S924" s="37"/>
    </row>
    <row r="925" spans="3:19" x14ac:dyDescent="0.2">
      <c r="C925" s="530">
        <v>27</v>
      </c>
      <c r="D925" s="531" t="s">
        <v>53</v>
      </c>
      <c r="E925" s="532"/>
      <c r="F925" s="533"/>
      <c r="G925" s="39" t="s">
        <v>15</v>
      </c>
      <c r="H925" s="33">
        <v>46091</v>
      </c>
      <c r="I925" s="540">
        <v>0.31405092592592593</v>
      </c>
      <c r="J925" s="535">
        <v>0.70895833333333336</v>
      </c>
      <c r="K925" s="536"/>
      <c r="L925" s="536"/>
      <c r="M925" s="537"/>
      <c r="N925" s="538"/>
      <c r="O925" s="538"/>
      <c r="P925" s="539"/>
      <c r="Q925" s="26"/>
      <c r="R925" s="26"/>
      <c r="S925" s="37"/>
    </row>
    <row r="926" spans="3:19" x14ac:dyDescent="0.2">
      <c r="C926" s="530">
        <v>27</v>
      </c>
      <c r="D926" s="531" t="s">
        <v>53</v>
      </c>
      <c r="E926" s="532"/>
      <c r="F926" s="533"/>
      <c r="G926" s="39" t="s">
        <v>16</v>
      </c>
      <c r="H926" s="33">
        <v>46092</v>
      </c>
      <c r="I926" s="540">
        <v>0.31077546296296293</v>
      </c>
      <c r="J926" s="535">
        <v>0.70947916666666666</v>
      </c>
      <c r="K926" s="536"/>
      <c r="L926" s="536"/>
      <c r="M926" s="537"/>
      <c r="N926" s="538"/>
      <c r="O926" s="538"/>
      <c r="P926" s="539"/>
      <c r="Q926" s="26"/>
      <c r="R926" s="26"/>
      <c r="S926" s="37"/>
    </row>
    <row r="927" spans="3:19" x14ac:dyDescent="0.2">
      <c r="C927" s="530">
        <v>27</v>
      </c>
      <c r="D927" s="531" t="s">
        <v>53</v>
      </c>
      <c r="E927" s="532"/>
      <c r="F927" s="533"/>
      <c r="G927" s="39" t="s">
        <v>17</v>
      </c>
      <c r="H927" s="33">
        <v>46093</v>
      </c>
      <c r="I927" s="540">
        <v>0.31582175925925926</v>
      </c>
      <c r="J927" s="535">
        <v>0.71060185185185187</v>
      </c>
      <c r="K927" s="536"/>
      <c r="L927" s="536"/>
      <c r="M927" s="537"/>
      <c r="N927" s="538"/>
      <c r="O927" s="538"/>
      <c r="P927" s="539"/>
      <c r="Q927" s="26"/>
      <c r="R927" s="26"/>
      <c r="S927" s="37"/>
    </row>
    <row r="928" spans="3:19" x14ac:dyDescent="0.2">
      <c r="C928" s="530">
        <v>27</v>
      </c>
      <c r="D928" s="531" t="s">
        <v>53</v>
      </c>
      <c r="E928" s="532"/>
      <c r="F928" s="533"/>
      <c r="G928" s="48" t="s">
        <v>18</v>
      </c>
      <c r="H928" s="33">
        <v>46094</v>
      </c>
      <c r="I928" s="540">
        <v>0.31096064814814817</v>
      </c>
      <c r="J928" s="535">
        <v>0.71074074074074067</v>
      </c>
      <c r="K928" s="536"/>
      <c r="L928" s="536"/>
      <c r="M928" s="537"/>
      <c r="N928" s="538"/>
      <c r="O928" s="538"/>
      <c r="P928" s="539"/>
      <c r="Q928" s="26"/>
      <c r="R928" s="26"/>
      <c r="S928" s="37"/>
    </row>
    <row r="929" spans="3:19" x14ac:dyDescent="0.2">
      <c r="C929" s="530">
        <v>27</v>
      </c>
      <c r="D929" s="531" t="s">
        <v>53</v>
      </c>
      <c r="E929" s="532"/>
      <c r="F929" s="533"/>
      <c r="G929" s="39" t="s">
        <v>19</v>
      </c>
      <c r="H929" s="33">
        <v>46095</v>
      </c>
      <c r="I929" s="540">
        <v>0.32824074074074078</v>
      </c>
      <c r="J929" s="535"/>
      <c r="K929" s="536"/>
      <c r="L929" s="536"/>
      <c r="M929" s="537"/>
      <c r="N929" s="538"/>
      <c r="O929" s="538"/>
      <c r="P929" s="539"/>
      <c r="Q929" s="26"/>
      <c r="R929" s="26"/>
      <c r="S929" s="37"/>
    </row>
    <row r="930" spans="3:19" x14ac:dyDescent="0.2">
      <c r="C930" s="530">
        <v>27</v>
      </c>
      <c r="D930" s="531" t="s">
        <v>53</v>
      </c>
      <c r="E930" s="532"/>
      <c r="F930" s="533"/>
      <c r="G930" s="46" t="s">
        <v>13</v>
      </c>
      <c r="H930" s="33">
        <v>46096</v>
      </c>
      <c r="I930" s="540"/>
      <c r="J930" s="535"/>
      <c r="K930" s="536"/>
      <c r="L930" s="536"/>
      <c r="M930" s="537"/>
      <c r="N930" s="538"/>
      <c r="O930" s="538"/>
      <c r="P930" s="44"/>
      <c r="Q930" s="26"/>
      <c r="R930" s="26"/>
      <c r="S930" s="37"/>
    </row>
    <row r="931" spans="3:19" x14ac:dyDescent="0.2">
      <c r="C931" s="530">
        <v>27</v>
      </c>
      <c r="D931" s="531" t="s">
        <v>53</v>
      </c>
      <c r="E931" s="532"/>
      <c r="F931" s="533"/>
      <c r="G931" s="39" t="s">
        <v>14</v>
      </c>
      <c r="H931" s="33">
        <v>46097</v>
      </c>
      <c r="I931" s="540"/>
      <c r="J931" s="535"/>
      <c r="K931" s="536"/>
      <c r="L931" s="536"/>
      <c r="M931" s="537"/>
      <c r="N931" s="538"/>
      <c r="O931" s="538"/>
      <c r="P931" s="539"/>
      <c r="Q931" s="26"/>
      <c r="R931" s="26"/>
      <c r="S931" s="37"/>
    </row>
    <row r="932" spans="3:19" x14ac:dyDescent="0.2">
      <c r="C932" s="530">
        <v>27</v>
      </c>
      <c r="D932" s="531" t="s">
        <v>53</v>
      </c>
      <c r="E932" s="532"/>
      <c r="F932" s="533"/>
      <c r="G932" s="39" t="s">
        <v>15</v>
      </c>
      <c r="H932" s="33">
        <v>46098</v>
      </c>
      <c r="I932" s="540"/>
      <c r="J932" s="535"/>
      <c r="K932" s="536"/>
      <c r="L932" s="536"/>
      <c r="M932" s="537"/>
      <c r="N932" s="538"/>
      <c r="O932" s="538"/>
      <c r="P932" s="539"/>
      <c r="Q932" s="26"/>
      <c r="R932" s="26"/>
      <c r="S932" s="37"/>
    </row>
    <row r="933" spans="3:19" x14ac:dyDescent="0.2">
      <c r="C933" s="530">
        <v>27</v>
      </c>
      <c r="D933" s="531" t="s">
        <v>53</v>
      </c>
      <c r="E933" s="532"/>
      <c r="F933" s="533"/>
      <c r="G933" s="39" t="s">
        <v>16</v>
      </c>
      <c r="H933" s="33">
        <v>46099</v>
      </c>
      <c r="I933" s="540"/>
      <c r="J933" s="535"/>
      <c r="K933" s="536"/>
      <c r="L933" s="536"/>
      <c r="M933" s="537"/>
      <c r="N933" s="538"/>
      <c r="O933" s="538"/>
      <c r="P933" s="539"/>
      <c r="Q933" s="26"/>
      <c r="R933" s="26"/>
      <c r="S933" s="37"/>
    </row>
    <row r="934" spans="3:19" x14ac:dyDescent="0.2">
      <c r="C934" s="530">
        <v>27</v>
      </c>
      <c r="D934" s="531" t="s">
        <v>53</v>
      </c>
      <c r="E934" s="532"/>
      <c r="F934" s="533"/>
      <c r="G934" s="39" t="s">
        <v>17</v>
      </c>
      <c r="H934" s="33">
        <v>46100</v>
      </c>
      <c r="I934" s="540"/>
      <c r="J934" s="535"/>
      <c r="K934" s="536"/>
      <c r="L934" s="536"/>
      <c r="M934" s="537"/>
      <c r="N934" s="538"/>
      <c r="O934" s="538"/>
      <c r="P934" s="539"/>
      <c r="Q934" s="26"/>
      <c r="R934" s="26"/>
      <c r="S934" s="37"/>
    </row>
    <row r="935" spans="3:19" x14ac:dyDescent="0.2">
      <c r="C935" s="530">
        <v>27</v>
      </c>
      <c r="D935" s="531" t="s">
        <v>53</v>
      </c>
      <c r="E935" s="532"/>
      <c r="F935" s="533"/>
      <c r="G935" s="39" t="s">
        <v>18</v>
      </c>
      <c r="H935" s="33">
        <v>46101</v>
      </c>
      <c r="I935" s="540"/>
      <c r="J935" s="535"/>
      <c r="K935" s="536"/>
      <c r="L935" s="536"/>
      <c r="M935" s="537"/>
      <c r="N935" s="538"/>
      <c r="O935" s="538"/>
      <c r="P935" s="539"/>
      <c r="Q935" s="26"/>
      <c r="R935" s="26"/>
      <c r="S935" s="37"/>
    </row>
    <row r="936" spans="3:19" x14ac:dyDescent="0.2">
      <c r="C936" s="530">
        <v>27</v>
      </c>
      <c r="D936" s="531" t="s">
        <v>53</v>
      </c>
      <c r="E936" s="532"/>
      <c r="F936" s="533"/>
      <c r="G936" s="39" t="s">
        <v>19</v>
      </c>
      <c r="H936" s="33">
        <v>46102</v>
      </c>
      <c r="I936" s="540"/>
      <c r="J936" s="535"/>
      <c r="K936" s="536"/>
      <c r="L936" s="536"/>
      <c r="M936" s="537"/>
      <c r="N936" s="538"/>
      <c r="O936" s="538"/>
      <c r="P936" s="539"/>
      <c r="Q936" s="26"/>
      <c r="R936" s="26"/>
      <c r="S936" s="37"/>
    </row>
    <row r="937" spans="3:19" x14ac:dyDescent="0.2">
      <c r="C937" s="530">
        <v>27</v>
      </c>
      <c r="D937" s="531" t="s">
        <v>53</v>
      </c>
      <c r="E937" s="532"/>
      <c r="F937" s="533"/>
      <c r="G937" s="46" t="s">
        <v>13</v>
      </c>
      <c r="H937" s="33">
        <v>46103</v>
      </c>
      <c r="I937" s="540"/>
      <c r="J937" s="535"/>
      <c r="K937" s="536"/>
      <c r="L937" s="536"/>
      <c r="M937" s="537"/>
      <c r="N937" s="538"/>
      <c r="O937" s="538"/>
      <c r="P937" s="539"/>
      <c r="Q937" s="26"/>
      <c r="R937" s="37"/>
    </row>
    <row r="938" spans="3:19" x14ac:dyDescent="0.2">
      <c r="C938" s="530">
        <v>27</v>
      </c>
      <c r="D938" s="531" t="s">
        <v>53</v>
      </c>
      <c r="E938" s="532"/>
      <c r="F938" s="533"/>
      <c r="G938" s="39" t="s">
        <v>14</v>
      </c>
      <c r="H938" s="33">
        <v>46104</v>
      </c>
      <c r="I938" s="540"/>
      <c r="J938" s="535"/>
      <c r="K938" s="536"/>
      <c r="L938" s="536"/>
      <c r="M938" s="537"/>
      <c r="N938" s="538"/>
      <c r="O938" s="538"/>
      <c r="P938" s="539"/>
      <c r="Q938" s="26"/>
      <c r="R938" s="26"/>
      <c r="S938" s="37"/>
    </row>
    <row r="939" spans="3:19" x14ac:dyDescent="0.2">
      <c r="C939" s="530">
        <v>27</v>
      </c>
      <c r="D939" s="531" t="s">
        <v>53</v>
      </c>
      <c r="E939" s="532"/>
      <c r="F939" s="533"/>
      <c r="G939" s="39" t="s">
        <v>15</v>
      </c>
      <c r="H939" s="33">
        <v>46105</v>
      </c>
      <c r="I939" s="540"/>
      <c r="J939" s="535"/>
      <c r="K939" s="536"/>
      <c r="L939" s="536"/>
      <c r="M939" s="537"/>
      <c r="N939" s="538"/>
      <c r="O939" s="538"/>
      <c r="P939" s="539"/>
      <c r="Q939" s="26"/>
      <c r="R939" s="26"/>
      <c r="S939" s="37"/>
    </row>
    <row r="940" spans="3:19" x14ac:dyDescent="0.2">
      <c r="C940" s="530">
        <v>27</v>
      </c>
      <c r="D940" s="531" t="s">
        <v>53</v>
      </c>
      <c r="E940" s="532"/>
      <c r="F940" s="533"/>
      <c r="G940" s="39" t="s">
        <v>16</v>
      </c>
      <c r="H940" s="33">
        <v>46106</v>
      </c>
      <c r="I940" s="540"/>
      <c r="J940" s="535"/>
      <c r="K940" s="536"/>
      <c r="L940" s="536"/>
      <c r="M940" s="537"/>
      <c r="N940" s="538"/>
      <c r="O940" s="538"/>
      <c r="P940" s="539"/>
      <c r="Q940" s="26"/>
      <c r="R940" s="26"/>
      <c r="S940" s="37"/>
    </row>
    <row r="941" spans="3:19" x14ac:dyDescent="0.2">
      <c r="C941" s="530">
        <v>27</v>
      </c>
      <c r="D941" s="531" t="s">
        <v>53</v>
      </c>
      <c r="E941" s="532"/>
      <c r="F941" s="533"/>
      <c r="G941" s="39" t="s">
        <v>17</v>
      </c>
      <c r="H941" s="33">
        <v>46107</v>
      </c>
      <c r="I941" s="540"/>
      <c r="J941" s="535"/>
      <c r="K941" s="536"/>
      <c r="L941" s="536"/>
      <c r="M941" s="537"/>
      <c r="N941" s="538"/>
      <c r="O941" s="538"/>
      <c r="P941" s="539"/>
      <c r="Q941" s="26"/>
      <c r="R941" s="26"/>
      <c r="S941" s="37"/>
    </row>
    <row r="942" spans="3:19" x14ac:dyDescent="0.2">
      <c r="C942" s="530">
        <v>27</v>
      </c>
      <c r="D942" s="531" t="s">
        <v>53</v>
      </c>
      <c r="E942" s="532"/>
      <c r="F942" s="533"/>
      <c r="G942" s="39" t="s">
        <v>18</v>
      </c>
      <c r="H942" s="33">
        <v>46108</v>
      </c>
      <c r="I942" s="540"/>
      <c r="J942" s="535"/>
      <c r="K942" s="536"/>
      <c r="L942" s="536"/>
      <c r="M942" s="537"/>
      <c r="N942" s="538"/>
      <c r="O942" s="538"/>
      <c r="P942" s="539"/>
      <c r="Q942" s="26"/>
      <c r="R942" s="26"/>
      <c r="S942" s="37"/>
    </row>
    <row r="943" spans="3:19" x14ac:dyDescent="0.2">
      <c r="C943" s="530">
        <v>27</v>
      </c>
      <c r="D943" s="531" t="s">
        <v>53</v>
      </c>
      <c r="E943" s="532"/>
      <c r="F943" s="533"/>
      <c r="G943" s="39" t="s">
        <v>19</v>
      </c>
      <c r="H943" s="33">
        <v>46109</v>
      </c>
      <c r="I943" s="540"/>
      <c r="J943" s="535"/>
      <c r="K943" s="536"/>
      <c r="L943" s="536"/>
      <c r="M943" s="537"/>
      <c r="N943" s="538"/>
      <c r="O943" s="538"/>
      <c r="P943" s="539"/>
      <c r="Q943" s="26"/>
      <c r="R943" s="26"/>
      <c r="S943" s="37"/>
    </row>
    <row r="944" spans="3:19" x14ac:dyDescent="0.2">
      <c r="C944" s="530">
        <v>27</v>
      </c>
      <c r="D944" s="531" t="s">
        <v>53</v>
      </c>
      <c r="E944" s="532"/>
      <c r="F944" s="533"/>
      <c r="G944" s="46" t="s">
        <v>13</v>
      </c>
      <c r="H944" s="33">
        <v>46110</v>
      </c>
      <c r="I944" s="540"/>
      <c r="J944" s="535"/>
      <c r="K944" s="536"/>
      <c r="L944" s="536"/>
      <c r="M944" s="537"/>
      <c r="N944" s="538"/>
      <c r="O944" s="538"/>
      <c r="P944" s="539"/>
      <c r="Q944" s="26"/>
      <c r="R944" s="26"/>
      <c r="S944" s="37"/>
    </row>
    <row r="945" spans="3:19" x14ac:dyDescent="0.2">
      <c r="C945" s="530">
        <v>27</v>
      </c>
      <c r="D945" s="531" t="s">
        <v>53</v>
      </c>
      <c r="E945" s="532"/>
      <c r="F945" s="533"/>
      <c r="G945" s="39" t="s">
        <v>14</v>
      </c>
      <c r="H945" s="33">
        <v>46111</v>
      </c>
      <c r="I945" s="540"/>
      <c r="J945" s="535"/>
      <c r="K945" s="536"/>
      <c r="L945" s="536"/>
      <c r="M945" s="537"/>
      <c r="N945" s="538"/>
      <c r="O945" s="538"/>
      <c r="P945" s="539"/>
      <c r="Q945" s="26"/>
      <c r="R945" s="26"/>
      <c r="S945" s="37"/>
    </row>
    <row r="946" spans="3:19" x14ac:dyDescent="0.2">
      <c r="C946" s="530">
        <v>27</v>
      </c>
      <c r="D946" s="531" t="s">
        <v>53</v>
      </c>
      <c r="E946" s="532"/>
      <c r="F946" s="533"/>
      <c r="G946" s="39" t="s">
        <v>15</v>
      </c>
      <c r="H946" s="33">
        <v>46112</v>
      </c>
      <c r="I946" s="540"/>
      <c r="J946" s="535"/>
      <c r="K946" s="536"/>
      <c r="L946" s="536"/>
      <c r="M946" s="537"/>
      <c r="N946" s="538"/>
      <c r="O946" s="538"/>
      <c r="P946" s="539"/>
      <c r="Q946" s="26"/>
      <c r="R946" s="26"/>
      <c r="S946" s="37"/>
    </row>
    <row r="947" spans="3:19" x14ac:dyDescent="0.2">
      <c r="C947" s="530"/>
      <c r="D947" s="531"/>
      <c r="E947" s="532"/>
      <c r="F947" s="533"/>
      <c r="G947" s="39"/>
      <c r="H947" s="33"/>
      <c r="I947" s="542"/>
      <c r="J947" s="535"/>
      <c r="K947" s="536"/>
      <c r="L947" s="536"/>
      <c r="M947" s="537"/>
      <c r="N947" s="538"/>
      <c r="O947" s="538"/>
      <c r="P947" s="539"/>
      <c r="Q947" s="26"/>
      <c r="R947" s="26"/>
      <c r="S947" s="37"/>
    </row>
    <row r="948" spans="3:19" x14ac:dyDescent="0.2">
      <c r="C948" s="543"/>
      <c r="D948" s="544"/>
      <c r="E948" s="545"/>
      <c r="F948" s="545"/>
      <c r="G948" s="546"/>
      <c r="H948" s="547"/>
      <c r="I948" s="548" t="str">
        <f>D919</f>
        <v>LULU ISLAMIYYAH</v>
      </c>
      <c r="J948" s="549" t="s">
        <v>20</v>
      </c>
      <c r="K948" s="550"/>
      <c r="L948" s="550"/>
      <c r="M948" s="551">
        <f>SUM(M916:M947)</f>
        <v>0</v>
      </c>
      <c r="N948" s="551">
        <f t="shared" ref="N948:O948" si="21">SUM(N916:N947)</f>
        <v>0</v>
      </c>
      <c r="O948" s="551">
        <f t="shared" si="21"/>
        <v>0</v>
      </c>
      <c r="P948" s="539"/>
      <c r="Q948" s="26"/>
      <c r="R948" s="26"/>
      <c r="S948" s="37"/>
    </row>
    <row r="949" spans="3:19" x14ac:dyDescent="0.2">
      <c r="C949" s="552"/>
      <c r="D949" s="553"/>
      <c r="E949" s="554"/>
      <c r="F949" s="554"/>
      <c r="G949" s="555"/>
      <c r="H949" s="556"/>
      <c r="I949" s="557"/>
      <c r="J949" s="557"/>
      <c r="K949" s="556"/>
      <c r="L949" s="556"/>
      <c r="M949" s="556"/>
      <c r="N949" s="558"/>
      <c r="O949" s="558"/>
      <c r="P949" s="559"/>
      <c r="Q949" s="26"/>
      <c r="R949" s="26"/>
      <c r="S949" s="37"/>
    </row>
    <row r="950" spans="3:19" x14ac:dyDescent="0.2">
      <c r="C950" s="58"/>
      <c r="D950" s="59"/>
      <c r="E950" s="60"/>
      <c r="F950" s="60"/>
      <c r="G950" s="61"/>
      <c r="H950" s="62"/>
      <c r="I950" s="63"/>
      <c r="J950" s="63"/>
      <c r="K950" s="62"/>
      <c r="L950" s="62"/>
      <c r="M950" s="62"/>
      <c r="N950" s="64"/>
      <c r="O950" s="64"/>
      <c r="P950" s="65"/>
      <c r="Q950" s="26"/>
      <c r="R950" s="26"/>
      <c r="S950" s="37"/>
    </row>
    <row r="951" spans="3:19" x14ac:dyDescent="0.2">
      <c r="C951" s="365" t="s">
        <v>1</v>
      </c>
      <c r="D951" s="67" t="s">
        <v>2</v>
      </c>
      <c r="E951" s="68" t="s">
        <v>3</v>
      </c>
      <c r="F951" s="68" t="s">
        <v>4</v>
      </c>
      <c r="G951" s="69" t="s">
        <v>5</v>
      </c>
      <c r="H951" s="68" t="s">
        <v>6</v>
      </c>
      <c r="I951" s="70" t="s">
        <v>7</v>
      </c>
      <c r="J951" s="70" t="s">
        <v>8</v>
      </c>
      <c r="K951" s="71"/>
      <c r="L951" s="72"/>
      <c r="M951" s="72" t="s">
        <v>9</v>
      </c>
      <c r="N951" s="73" t="s">
        <v>10</v>
      </c>
      <c r="O951" s="73" t="s">
        <v>11</v>
      </c>
      <c r="P951" s="198"/>
      <c r="Q951" s="26"/>
      <c r="R951" s="26"/>
      <c r="S951" s="37"/>
    </row>
    <row r="952" spans="3:19" x14ac:dyDescent="0.2">
      <c r="C952" s="560">
        <v>28</v>
      </c>
      <c r="D952" s="561" t="s">
        <v>54</v>
      </c>
      <c r="E952" s="562"/>
      <c r="F952" s="563"/>
      <c r="G952" s="32" t="s">
        <v>13</v>
      </c>
      <c r="H952" s="33">
        <v>46082</v>
      </c>
      <c r="I952" s="564">
        <v>0.34236111111111112</v>
      </c>
      <c r="J952" s="565" t="s">
        <v>55</v>
      </c>
      <c r="K952" s="566"/>
      <c r="L952" s="566"/>
      <c r="M952" s="567"/>
      <c r="N952" s="568"/>
      <c r="O952" s="568"/>
      <c r="P952" s="569"/>
      <c r="Q952" s="26"/>
      <c r="R952" s="26"/>
      <c r="S952" s="37"/>
    </row>
    <row r="953" spans="3:19" x14ac:dyDescent="0.2">
      <c r="C953" s="560">
        <v>28</v>
      </c>
      <c r="D953" s="561" t="s">
        <v>54</v>
      </c>
      <c r="E953" s="562"/>
      <c r="F953" s="563"/>
      <c r="G953" s="29" t="s">
        <v>14</v>
      </c>
      <c r="H953" s="33">
        <v>46083</v>
      </c>
      <c r="I953" s="564"/>
      <c r="J953" s="565">
        <v>0.12619212962962964</v>
      </c>
      <c r="K953" s="566"/>
      <c r="L953" s="566"/>
      <c r="M953" s="567"/>
      <c r="N953" s="568"/>
      <c r="O953" s="568"/>
      <c r="P953" s="569"/>
      <c r="Q953" s="26"/>
      <c r="R953" s="26"/>
      <c r="S953" s="37"/>
    </row>
    <row r="954" spans="3:19" x14ac:dyDescent="0.2">
      <c r="C954" s="560">
        <v>28</v>
      </c>
      <c r="D954" s="561" t="s">
        <v>54</v>
      </c>
      <c r="E954" s="562"/>
      <c r="F954" s="563"/>
      <c r="G954" s="39" t="s">
        <v>15</v>
      </c>
      <c r="H954" s="33">
        <v>46084</v>
      </c>
      <c r="I954" s="570">
        <v>0.78901620370370373</v>
      </c>
      <c r="J954" s="565">
        <v>0.20998842592592593</v>
      </c>
      <c r="K954" s="566"/>
      <c r="L954" s="566"/>
      <c r="M954" s="567">
        <v>3</v>
      </c>
      <c r="N954" s="568"/>
      <c r="O954" s="568"/>
      <c r="P954" s="569"/>
      <c r="Q954" s="26"/>
      <c r="R954" s="26"/>
      <c r="S954" s="37"/>
    </row>
    <row r="955" spans="3:19" x14ac:dyDescent="0.2">
      <c r="C955" s="560">
        <v>28</v>
      </c>
      <c r="D955" s="561" t="s">
        <v>54</v>
      </c>
      <c r="E955" s="562"/>
      <c r="F955" s="563"/>
      <c r="G955" s="39" t="s">
        <v>16</v>
      </c>
      <c r="H955" s="33">
        <v>46085</v>
      </c>
      <c r="I955" s="570">
        <v>0.70505787037037038</v>
      </c>
      <c r="J955" s="565">
        <v>0.12658564814814816</v>
      </c>
      <c r="K955" s="566"/>
      <c r="L955" s="566"/>
      <c r="M955" s="567"/>
      <c r="N955" s="568"/>
      <c r="O955" s="568"/>
      <c r="P955" s="569"/>
      <c r="Q955" s="26"/>
      <c r="R955" s="26"/>
      <c r="S955" s="37"/>
    </row>
    <row r="956" spans="3:19" x14ac:dyDescent="0.2">
      <c r="C956" s="560">
        <v>28</v>
      </c>
      <c r="D956" s="561" t="s">
        <v>54</v>
      </c>
      <c r="E956" s="562"/>
      <c r="F956" s="563"/>
      <c r="G956" s="39" t="s">
        <v>17</v>
      </c>
      <c r="H956" s="33">
        <v>46086</v>
      </c>
      <c r="I956" s="570">
        <v>0.79109953703703706</v>
      </c>
      <c r="J956" s="565">
        <v>0.12545138888888888</v>
      </c>
      <c r="K956" s="566"/>
      <c r="L956" s="566"/>
      <c r="M956" s="567"/>
      <c r="N956" s="568"/>
      <c r="O956" s="568"/>
      <c r="P956" s="569"/>
      <c r="Q956" s="26"/>
      <c r="R956" s="26"/>
      <c r="S956" s="37"/>
    </row>
    <row r="957" spans="3:19" x14ac:dyDescent="0.2">
      <c r="C957" s="560">
        <v>28</v>
      </c>
      <c r="D957" s="561" t="s">
        <v>54</v>
      </c>
      <c r="E957" s="562"/>
      <c r="F957" s="563"/>
      <c r="G957" s="45" t="s">
        <v>18</v>
      </c>
      <c r="H957" s="33">
        <v>46087</v>
      </c>
      <c r="I957" s="570">
        <v>0.70996527777777774</v>
      </c>
      <c r="J957" s="565">
        <v>0.12625</v>
      </c>
      <c r="K957" s="566"/>
      <c r="L957" s="566"/>
      <c r="M957" s="567"/>
      <c r="N957" s="568"/>
      <c r="O957" s="568"/>
      <c r="P957" s="569"/>
      <c r="Q957" s="26"/>
      <c r="R957" s="26"/>
      <c r="S957" s="37"/>
    </row>
    <row r="958" spans="3:19" x14ac:dyDescent="0.2">
      <c r="C958" s="560">
        <v>28</v>
      </c>
      <c r="D958" s="561" t="s">
        <v>54</v>
      </c>
      <c r="E958" s="562"/>
      <c r="F958" s="563"/>
      <c r="G958" s="39" t="s">
        <v>19</v>
      </c>
      <c r="H958" s="33">
        <v>46088</v>
      </c>
      <c r="I958" s="570">
        <v>0.53825231481481484</v>
      </c>
      <c r="J958" s="565">
        <v>0.66759259259259263</v>
      </c>
      <c r="K958" s="566"/>
      <c r="L958" s="566"/>
      <c r="M958" s="567"/>
      <c r="N958" s="568"/>
      <c r="O958" s="568"/>
      <c r="P958" s="569"/>
      <c r="Q958" s="26"/>
      <c r="R958" s="26"/>
      <c r="S958" s="37"/>
    </row>
    <row r="959" spans="3:19" x14ac:dyDescent="0.25">
      <c r="C959" s="560">
        <v>28</v>
      </c>
      <c r="D959" s="561" t="s">
        <v>54</v>
      </c>
      <c r="E959" s="562"/>
      <c r="F959" s="563"/>
      <c r="G959" s="46" t="s">
        <v>13</v>
      </c>
      <c r="H959" s="33">
        <v>46089</v>
      </c>
      <c r="I959" s="564"/>
      <c r="K959" s="566"/>
      <c r="L959" s="566"/>
      <c r="M959" s="567"/>
      <c r="N959" s="568"/>
      <c r="O959" s="568"/>
      <c r="P959" s="569"/>
      <c r="Q959" s="26"/>
      <c r="R959" s="26"/>
      <c r="S959" s="37"/>
    </row>
    <row r="960" spans="3:19" x14ac:dyDescent="0.25">
      <c r="C960" s="560">
        <v>28</v>
      </c>
      <c r="D960" s="561" t="s">
        <v>54</v>
      </c>
      <c r="E960" s="562"/>
      <c r="F960" s="563"/>
      <c r="G960" s="39" t="s">
        <v>14</v>
      </c>
      <c r="H960" s="33">
        <v>46090</v>
      </c>
      <c r="I960" s="5">
        <v>0.32704861111111111</v>
      </c>
      <c r="J960" s="570">
        <v>0.80230324074074078</v>
      </c>
      <c r="K960" s="566"/>
      <c r="L960" s="566"/>
      <c r="M960" s="567">
        <v>2</v>
      </c>
      <c r="N960" s="568"/>
      <c r="O960" s="568"/>
      <c r="P960" s="569"/>
      <c r="Q960" s="26"/>
      <c r="R960" s="26"/>
      <c r="S960" s="37"/>
    </row>
    <row r="961" spans="3:19" x14ac:dyDescent="0.2">
      <c r="C961" s="560">
        <v>28</v>
      </c>
      <c r="D961" s="561" t="s">
        <v>54</v>
      </c>
      <c r="E961" s="562"/>
      <c r="F961" s="563"/>
      <c r="G961" s="39" t="s">
        <v>15</v>
      </c>
      <c r="H961" s="33">
        <v>46091</v>
      </c>
      <c r="I961" s="571">
        <v>0.32863425925925926</v>
      </c>
      <c r="J961" s="565">
        <v>0.80428240740740742</v>
      </c>
      <c r="K961" s="566"/>
      <c r="L961" s="566"/>
      <c r="M961" s="567">
        <v>2</v>
      </c>
      <c r="N961" s="568"/>
      <c r="O961" s="568"/>
      <c r="P961" s="569"/>
      <c r="Q961" s="26"/>
      <c r="R961" s="26"/>
      <c r="S961" s="37"/>
    </row>
    <row r="962" spans="3:19" x14ac:dyDescent="0.2">
      <c r="C962" s="560">
        <v>28</v>
      </c>
      <c r="D962" s="561" t="s">
        <v>54</v>
      </c>
      <c r="E962" s="562"/>
      <c r="F962" s="563"/>
      <c r="G962" s="39" t="s">
        <v>16</v>
      </c>
      <c r="H962" s="33">
        <v>46092</v>
      </c>
      <c r="I962" s="570">
        <v>0.32651620370370371</v>
      </c>
      <c r="J962" s="565">
        <v>0.71355324074074078</v>
      </c>
      <c r="K962" s="566"/>
      <c r="L962" s="566"/>
      <c r="M962" s="567"/>
      <c r="N962" s="568"/>
      <c r="O962" s="568"/>
      <c r="P962" s="569"/>
      <c r="Q962" s="26"/>
      <c r="R962" s="26"/>
      <c r="S962" s="37"/>
    </row>
    <row r="963" spans="3:19" x14ac:dyDescent="0.2">
      <c r="C963" s="560">
        <v>28</v>
      </c>
      <c r="D963" s="561" t="s">
        <v>54</v>
      </c>
      <c r="E963" s="562"/>
      <c r="F963" s="563"/>
      <c r="G963" s="39" t="s">
        <v>17</v>
      </c>
      <c r="H963" s="33">
        <v>46093</v>
      </c>
      <c r="I963" s="570">
        <v>0.32753472222222224</v>
      </c>
      <c r="J963" s="565">
        <v>0.71090277777777777</v>
      </c>
      <c r="K963" s="566"/>
      <c r="L963" s="566"/>
      <c r="M963" s="567"/>
      <c r="N963" s="568"/>
      <c r="O963" s="568"/>
      <c r="P963" s="569"/>
      <c r="Q963" s="26"/>
      <c r="R963" s="26"/>
      <c r="S963" s="37"/>
    </row>
    <row r="964" spans="3:19" x14ac:dyDescent="0.2">
      <c r="C964" s="560">
        <v>28</v>
      </c>
      <c r="D964" s="561" t="s">
        <v>54</v>
      </c>
      <c r="E964" s="562"/>
      <c r="F964" s="563"/>
      <c r="G964" s="48" t="s">
        <v>18</v>
      </c>
      <c r="H964" s="33">
        <v>46094</v>
      </c>
      <c r="I964" s="571">
        <v>0.32723379629629629</v>
      </c>
      <c r="J964" s="565">
        <v>0.71026620370370364</v>
      </c>
      <c r="K964" s="566"/>
      <c r="L964" s="566"/>
      <c r="M964" s="567"/>
      <c r="N964" s="568"/>
      <c r="O964" s="568"/>
      <c r="P964" s="569"/>
      <c r="Q964" s="26"/>
      <c r="R964" s="26"/>
      <c r="S964" s="37"/>
    </row>
    <row r="965" spans="3:19" x14ac:dyDescent="0.2">
      <c r="C965" s="560">
        <v>28</v>
      </c>
      <c r="D965" s="561" t="s">
        <v>54</v>
      </c>
      <c r="E965" s="562"/>
      <c r="F965" s="563"/>
      <c r="G965" s="39" t="s">
        <v>19</v>
      </c>
      <c r="H965" s="33">
        <v>46095</v>
      </c>
      <c r="I965" s="570">
        <v>0.32839120370370373</v>
      </c>
      <c r="J965" s="565"/>
      <c r="K965" s="566"/>
      <c r="L965" s="566"/>
      <c r="M965" s="567"/>
      <c r="N965" s="568"/>
      <c r="O965" s="568"/>
      <c r="P965" s="569"/>
      <c r="Q965" s="26"/>
      <c r="R965" s="26"/>
      <c r="S965" s="37"/>
    </row>
    <row r="966" spans="3:19" x14ac:dyDescent="0.2">
      <c r="C966" s="560">
        <v>28</v>
      </c>
      <c r="D966" s="561" t="s">
        <v>54</v>
      </c>
      <c r="E966" s="562"/>
      <c r="F966" s="563"/>
      <c r="G966" s="46" t="s">
        <v>13</v>
      </c>
      <c r="H966" s="33">
        <v>46096</v>
      </c>
      <c r="I966" s="570"/>
      <c r="J966" s="565"/>
      <c r="K966" s="566"/>
      <c r="L966" s="566"/>
      <c r="M966" s="567"/>
      <c r="N966" s="568"/>
      <c r="O966" s="568"/>
      <c r="P966" s="44"/>
      <c r="Q966" s="26"/>
      <c r="R966" s="26"/>
      <c r="S966" s="37"/>
    </row>
    <row r="967" spans="3:19" x14ac:dyDescent="0.2">
      <c r="C967" s="560">
        <v>28</v>
      </c>
      <c r="D967" s="561" t="s">
        <v>54</v>
      </c>
      <c r="E967" s="562"/>
      <c r="F967" s="563"/>
      <c r="G967" s="39" t="s">
        <v>14</v>
      </c>
      <c r="H967" s="33">
        <v>46097</v>
      </c>
      <c r="I967" s="564"/>
      <c r="J967" s="565"/>
      <c r="K967" s="566"/>
      <c r="L967" s="566"/>
      <c r="M967" s="567"/>
      <c r="N967" s="568"/>
      <c r="O967" s="568"/>
      <c r="P967" s="569"/>
      <c r="Q967" s="26"/>
      <c r="R967" s="26"/>
      <c r="S967" s="37"/>
    </row>
    <row r="968" spans="3:19" x14ac:dyDescent="0.2">
      <c r="C968" s="560">
        <v>28</v>
      </c>
      <c r="D968" s="561" t="s">
        <v>54</v>
      </c>
      <c r="E968" s="562"/>
      <c r="F968" s="563"/>
      <c r="G968" s="39" t="s">
        <v>15</v>
      </c>
      <c r="H968" s="33">
        <v>46098</v>
      </c>
      <c r="I968" s="564"/>
      <c r="J968" s="565"/>
      <c r="K968" s="566"/>
      <c r="L968" s="566"/>
      <c r="M968" s="567"/>
      <c r="N968" s="568"/>
      <c r="O968" s="568"/>
      <c r="P968" s="569"/>
      <c r="Q968" s="26"/>
      <c r="R968" s="26"/>
      <c r="S968" s="37"/>
    </row>
    <row r="969" spans="3:19" x14ac:dyDescent="0.2">
      <c r="C969" s="560">
        <v>28</v>
      </c>
      <c r="D969" s="561" t="s">
        <v>54</v>
      </c>
      <c r="E969" s="562"/>
      <c r="F969" s="563"/>
      <c r="G969" s="39" t="s">
        <v>16</v>
      </c>
      <c r="H969" s="33">
        <v>46099</v>
      </c>
      <c r="I969" s="571"/>
      <c r="J969" s="565"/>
      <c r="K969" s="566"/>
      <c r="L969" s="566"/>
      <c r="M969" s="567"/>
      <c r="N969" s="568"/>
      <c r="O969" s="568"/>
      <c r="P969" s="569"/>
      <c r="Q969" s="26"/>
      <c r="R969" s="26"/>
      <c r="S969" s="37"/>
    </row>
    <row r="970" spans="3:19" x14ac:dyDescent="0.2">
      <c r="C970" s="560">
        <v>28</v>
      </c>
      <c r="D970" s="561" t="s">
        <v>54</v>
      </c>
      <c r="E970" s="562"/>
      <c r="F970" s="563"/>
      <c r="G970" s="39" t="s">
        <v>17</v>
      </c>
      <c r="H970" s="33">
        <v>46100</v>
      </c>
      <c r="I970" s="571"/>
      <c r="J970" s="565"/>
      <c r="K970" s="566"/>
      <c r="L970" s="566"/>
      <c r="M970" s="567"/>
      <c r="N970" s="568"/>
      <c r="O970" s="568"/>
      <c r="P970" s="569"/>
      <c r="Q970" s="26"/>
      <c r="R970" s="26"/>
      <c r="S970" s="37"/>
    </row>
    <row r="971" spans="3:19" x14ac:dyDescent="0.2">
      <c r="C971" s="560">
        <v>28</v>
      </c>
      <c r="D971" s="561" t="s">
        <v>54</v>
      </c>
      <c r="E971" s="562"/>
      <c r="F971" s="563"/>
      <c r="G971" s="39" t="s">
        <v>18</v>
      </c>
      <c r="H971" s="33">
        <v>46101</v>
      </c>
      <c r="I971" s="570"/>
      <c r="J971" s="565"/>
      <c r="K971" s="566"/>
      <c r="L971" s="566"/>
      <c r="M971" s="567"/>
      <c r="N971" s="568"/>
      <c r="O971" s="568"/>
      <c r="P971" s="569"/>
      <c r="Q971" s="26"/>
      <c r="R971" s="26"/>
      <c r="S971" s="37"/>
    </row>
    <row r="972" spans="3:19" x14ac:dyDescent="0.2">
      <c r="C972" s="560">
        <v>28</v>
      </c>
      <c r="D972" s="561" t="s">
        <v>54</v>
      </c>
      <c r="E972" s="562"/>
      <c r="F972" s="563"/>
      <c r="G972" s="39" t="s">
        <v>19</v>
      </c>
      <c r="H972" s="33">
        <v>46102</v>
      </c>
      <c r="I972" s="570"/>
      <c r="J972" s="565"/>
      <c r="K972" s="566"/>
      <c r="L972" s="566"/>
      <c r="M972" s="567"/>
      <c r="N972" s="568"/>
      <c r="O972" s="568"/>
      <c r="P972" s="569"/>
      <c r="Q972" s="26"/>
      <c r="R972" s="26"/>
      <c r="S972" s="37"/>
    </row>
    <row r="973" spans="3:19" x14ac:dyDescent="0.2">
      <c r="C973" s="560">
        <v>28</v>
      </c>
      <c r="D973" s="561" t="s">
        <v>54</v>
      </c>
      <c r="E973" s="562"/>
      <c r="F973" s="563"/>
      <c r="G973" s="46" t="s">
        <v>13</v>
      </c>
      <c r="H973" s="33">
        <v>46103</v>
      </c>
      <c r="I973" s="570"/>
      <c r="J973" s="565"/>
      <c r="K973" s="566"/>
      <c r="L973" s="566"/>
      <c r="M973" s="567"/>
      <c r="N973" s="568"/>
      <c r="O973" s="568"/>
      <c r="P973" s="569"/>
      <c r="Q973" s="26"/>
      <c r="R973" s="26"/>
      <c r="S973" s="37"/>
    </row>
    <row r="974" spans="3:19" x14ac:dyDescent="0.2">
      <c r="C974" s="560">
        <v>28</v>
      </c>
      <c r="D974" s="561" t="s">
        <v>54</v>
      </c>
      <c r="E974" s="562"/>
      <c r="F974" s="563"/>
      <c r="G974" s="39" t="s">
        <v>14</v>
      </c>
      <c r="H974" s="33">
        <v>46104</v>
      </c>
      <c r="I974" s="571"/>
      <c r="J974" s="565"/>
      <c r="K974" s="566"/>
      <c r="L974" s="566"/>
      <c r="M974" s="567"/>
      <c r="N974" s="568"/>
      <c r="O974" s="568"/>
      <c r="P974" s="569"/>
      <c r="Q974" s="26"/>
      <c r="R974" s="26"/>
      <c r="S974" s="37"/>
    </row>
    <row r="975" spans="3:19" x14ac:dyDescent="0.2">
      <c r="C975" s="560">
        <v>28</v>
      </c>
      <c r="D975" s="561" t="s">
        <v>54</v>
      </c>
      <c r="E975" s="562"/>
      <c r="F975" s="563"/>
      <c r="G975" s="39" t="s">
        <v>15</v>
      </c>
      <c r="H975" s="33">
        <v>46105</v>
      </c>
      <c r="I975" s="570"/>
      <c r="J975" s="565"/>
      <c r="K975" s="566"/>
      <c r="L975" s="566"/>
      <c r="M975" s="567"/>
      <c r="N975" s="568"/>
      <c r="O975" s="568"/>
      <c r="P975" s="569"/>
      <c r="Q975" s="26"/>
      <c r="R975" s="26"/>
      <c r="S975" s="37"/>
    </row>
    <row r="976" spans="3:19" x14ac:dyDescent="0.2">
      <c r="C976" s="560">
        <v>28</v>
      </c>
      <c r="D976" s="561" t="s">
        <v>54</v>
      </c>
      <c r="E976" s="562"/>
      <c r="F976" s="563"/>
      <c r="G976" s="39" t="s">
        <v>16</v>
      </c>
      <c r="H976" s="33">
        <v>46106</v>
      </c>
      <c r="I976" s="570"/>
      <c r="J976" s="565"/>
      <c r="K976" s="566"/>
      <c r="L976" s="566"/>
      <c r="M976" s="567"/>
      <c r="N976" s="568"/>
      <c r="O976" s="568"/>
      <c r="P976" s="569"/>
      <c r="Q976" s="26"/>
      <c r="R976" s="26"/>
      <c r="S976" s="37"/>
    </row>
    <row r="977" spans="3:19" x14ac:dyDescent="0.2">
      <c r="C977" s="560">
        <v>28</v>
      </c>
      <c r="D977" s="561" t="s">
        <v>54</v>
      </c>
      <c r="E977" s="562"/>
      <c r="F977" s="563"/>
      <c r="G977" s="39" t="s">
        <v>17</v>
      </c>
      <c r="H977" s="33">
        <v>46107</v>
      </c>
      <c r="I977" s="571"/>
      <c r="J977" s="565"/>
      <c r="K977" s="566"/>
      <c r="L977" s="566"/>
      <c r="M977" s="567"/>
      <c r="N977" s="568"/>
      <c r="O977" s="568"/>
      <c r="P977" s="569"/>
      <c r="Q977" s="26"/>
      <c r="R977" s="26"/>
      <c r="S977" s="37"/>
    </row>
    <row r="978" spans="3:19" x14ac:dyDescent="0.2">
      <c r="C978" s="560">
        <v>28</v>
      </c>
      <c r="D978" s="561" t="s">
        <v>54</v>
      </c>
      <c r="E978" s="562"/>
      <c r="F978" s="563"/>
      <c r="G978" s="39" t="s">
        <v>18</v>
      </c>
      <c r="H978" s="33">
        <v>46108</v>
      </c>
      <c r="I978" s="570"/>
      <c r="J978" s="565"/>
      <c r="K978" s="566"/>
      <c r="L978" s="566"/>
      <c r="M978" s="567"/>
      <c r="N978" s="568"/>
      <c r="O978" s="568"/>
      <c r="P978" s="569"/>
      <c r="Q978" s="26"/>
      <c r="R978" s="26"/>
      <c r="S978" s="37"/>
    </row>
    <row r="979" spans="3:19" x14ac:dyDescent="0.2">
      <c r="C979" s="560">
        <v>28</v>
      </c>
      <c r="D979" s="561" t="s">
        <v>54</v>
      </c>
      <c r="E979" s="562"/>
      <c r="F979" s="563"/>
      <c r="G979" s="39" t="s">
        <v>19</v>
      </c>
      <c r="H979" s="33">
        <v>46109</v>
      </c>
      <c r="I979" s="570"/>
      <c r="J979" s="565"/>
      <c r="K979" s="566"/>
      <c r="L979" s="566"/>
      <c r="M979" s="567"/>
      <c r="N979" s="568"/>
      <c r="O979" s="568"/>
      <c r="P979" s="569"/>
      <c r="Q979" s="26"/>
      <c r="R979" s="26"/>
      <c r="S979" s="37"/>
    </row>
    <row r="980" spans="3:19" x14ac:dyDescent="0.2">
      <c r="C980" s="560">
        <v>28</v>
      </c>
      <c r="D980" s="561" t="s">
        <v>54</v>
      </c>
      <c r="E980" s="562"/>
      <c r="F980" s="563"/>
      <c r="G980" s="46" t="s">
        <v>13</v>
      </c>
      <c r="H980" s="33">
        <v>46110</v>
      </c>
      <c r="I980" s="570"/>
      <c r="J980" s="565"/>
      <c r="K980" s="566"/>
      <c r="L980" s="566"/>
      <c r="M980" s="567"/>
      <c r="N980" s="568"/>
      <c r="O980" s="568"/>
      <c r="P980" s="569"/>
      <c r="Q980" s="26"/>
      <c r="R980" s="26"/>
      <c r="S980" s="37"/>
    </row>
    <row r="981" spans="3:19" x14ac:dyDescent="0.2">
      <c r="C981" s="560">
        <v>28</v>
      </c>
      <c r="D981" s="561" t="s">
        <v>54</v>
      </c>
      <c r="E981" s="562"/>
      <c r="F981" s="563"/>
      <c r="G981" s="39" t="s">
        <v>14</v>
      </c>
      <c r="H981" s="33">
        <v>46111</v>
      </c>
      <c r="I981" s="570"/>
      <c r="J981" s="565"/>
      <c r="K981" s="566"/>
      <c r="L981" s="566"/>
      <c r="M981" s="567"/>
      <c r="N981" s="568"/>
      <c r="O981" s="568"/>
      <c r="P981" s="569"/>
      <c r="Q981" s="26"/>
      <c r="R981" s="26"/>
      <c r="S981" s="37"/>
    </row>
    <row r="982" spans="3:19" x14ac:dyDescent="0.2">
      <c r="C982" s="560">
        <v>28</v>
      </c>
      <c r="D982" s="561" t="s">
        <v>54</v>
      </c>
      <c r="E982" s="562"/>
      <c r="F982" s="563"/>
      <c r="G982" s="39" t="s">
        <v>15</v>
      </c>
      <c r="H982" s="33">
        <v>46112</v>
      </c>
      <c r="I982" s="570"/>
      <c r="J982" s="565"/>
      <c r="K982" s="566"/>
      <c r="L982" s="566"/>
      <c r="M982" s="567"/>
      <c r="N982" s="568"/>
      <c r="O982" s="568"/>
      <c r="P982" s="569"/>
      <c r="Q982" s="26"/>
      <c r="R982" s="26"/>
      <c r="S982" s="37"/>
    </row>
    <row r="983" spans="3:19" x14ac:dyDescent="0.2">
      <c r="C983" s="560"/>
      <c r="D983" s="561"/>
      <c r="E983" s="562"/>
      <c r="F983" s="563"/>
      <c r="G983" s="39"/>
      <c r="H983" s="33"/>
      <c r="I983" s="572"/>
      <c r="J983" s="565"/>
      <c r="K983" s="566"/>
      <c r="L983" s="566"/>
      <c r="M983" s="567"/>
      <c r="N983" s="568"/>
      <c r="O983" s="568"/>
      <c r="P983" s="569"/>
      <c r="Q983" s="26"/>
      <c r="R983" s="26"/>
      <c r="S983" s="37"/>
    </row>
    <row r="984" spans="3:19" x14ac:dyDescent="0.2">
      <c r="C984" s="560"/>
      <c r="D984" s="561"/>
      <c r="E984" s="562"/>
      <c r="F984" s="563"/>
      <c r="G984" s="39"/>
      <c r="H984" s="33"/>
      <c r="I984" s="572"/>
      <c r="J984" s="565"/>
      <c r="K984" s="566"/>
      <c r="L984" s="566"/>
      <c r="M984" s="567"/>
      <c r="N984" s="568"/>
      <c r="O984" s="568"/>
      <c r="P984" s="569"/>
      <c r="Q984" s="26"/>
      <c r="R984" s="26"/>
      <c r="S984" s="37"/>
    </row>
    <row r="985" spans="3:19" x14ac:dyDescent="0.2">
      <c r="C985" s="573"/>
      <c r="D985" s="574"/>
      <c r="E985" s="575"/>
      <c r="F985" s="575"/>
      <c r="G985" s="576"/>
      <c r="H985" s="577"/>
      <c r="I985" s="578" t="str">
        <f>D955</f>
        <v>AAM SETIAWAN</v>
      </c>
      <c r="J985" s="579" t="s">
        <v>20</v>
      </c>
      <c r="K985" s="580"/>
      <c r="L985" s="580"/>
      <c r="M985" s="581">
        <f>SUM(M952:M984)</f>
        <v>7</v>
      </c>
      <c r="N985" s="581">
        <f t="shared" ref="N985:O985" si="22">SUM(N952:N984)</f>
        <v>0</v>
      </c>
      <c r="O985" s="581">
        <f t="shared" si="22"/>
        <v>0</v>
      </c>
      <c r="P985" s="569"/>
      <c r="Q985" s="26"/>
      <c r="R985" s="26"/>
      <c r="S985" s="37"/>
    </row>
    <row r="986" spans="3:19" x14ac:dyDescent="0.2">
      <c r="C986" s="58"/>
      <c r="D986" s="59"/>
      <c r="E986" s="60"/>
      <c r="F986" s="60"/>
      <c r="G986" s="61"/>
      <c r="H986" s="62"/>
      <c r="I986" s="63"/>
      <c r="J986" s="63"/>
      <c r="K986" s="62"/>
      <c r="L986" s="62"/>
      <c r="M986" s="62"/>
      <c r="N986" s="64"/>
      <c r="O986" s="64"/>
      <c r="P986" s="65"/>
      <c r="Q986" s="26"/>
      <c r="R986" s="26"/>
      <c r="S986" s="37"/>
    </row>
    <row r="987" spans="3:19" x14ac:dyDescent="0.2">
      <c r="C987" s="365" t="s">
        <v>1</v>
      </c>
      <c r="D987" s="67" t="s">
        <v>2</v>
      </c>
      <c r="E987" s="68" t="s">
        <v>3</v>
      </c>
      <c r="F987" s="68" t="s">
        <v>4</v>
      </c>
      <c r="G987" s="69" t="s">
        <v>5</v>
      </c>
      <c r="H987" s="68" t="s">
        <v>6</v>
      </c>
      <c r="I987" s="70" t="s">
        <v>7</v>
      </c>
      <c r="J987" s="70" t="s">
        <v>8</v>
      </c>
      <c r="K987" s="71"/>
      <c r="L987" s="72"/>
      <c r="M987" s="72" t="s">
        <v>9</v>
      </c>
      <c r="N987" s="73" t="s">
        <v>10</v>
      </c>
      <c r="O987" s="73" t="s">
        <v>11</v>
      </c>
      <c r="P987" s="198"/>
      <c r="Q987" s="26"/>
      <c r="R987" s="26"/>
      <c r="S987" s="37"/>
    </row>
    <row r="988" spans="3:19" x14ac:dyDescent="0.2">
      <c r="C988" s="582">
        <v>29</v>
      </c>
      <c r="D988" s="561" t="s">
        <v>56</v>
      </c>
      <c r="E988" s="562"/>
      <c r="F988" s="563"/>
      <c r="G988" s="32" t="s">
        <v>13</v>
      </c>
      <c r="H988" s="33">
        <v>46082</v>
      </c>
      <c r="I988" s="564"/>
      <c r="J988" s="565"/>
      <c r="K988" s="566"/>
      <c r="L988" s="566"/>
      <c r="M988" s="567"/>
      <c r="N988" s="568"/>
      <c r="O988" s="568"/>
      <c r="P988" s="569"/>
      <c r="Q988" s="26"/>
      <c r="R988" s="26"/>
      <c r="S988" s="37"/>
    </row>
    <row r="989" spans="3:19" x14ac:dyDescent="0.2">
      <c r="C989" s="582">
        <v>29</v>
      </c>
      <c r="D989" s="561" t="s">
        <v>56</v>
      </c>
      <c r="E989" s="562"/>
      <c r="F989" s="563"/>
      <c r="G989" s="29" t="s">
        <v>14</v>
      </c>
      <c r="H989" s="33">
        <v>46083</v>
      </c>
      <c r="I989" s="571">
        <v>0.32556712962962964</v>
      </c>
      <c r="J989" s="565"/>
      <c r="K989" s="566"/>
      <c r="L989" s="566"/>
      <c r="M989" s="567"/>
      <c r="N989" s="568"/>
      <c r="O989" s="568"/>
      <c r="P989" s="569"/>
      <c r="Q989" s="26"/>
      <c r="R989" s="26"/>
      <c r="S989" s="37"/>
    </row>
    <row r="990" spans="3:19" x14ac:dyDescent="0.2">
      <c r="C990" s="582">
        <v>29</v>
      </c>
      <c r="D990" s="561" t="s">
        <v>56</v>
      </c>
      <c r="E990" s="562"/>
      <c r="F990" s="563"/>
      <c r="G990" s="39" t="s">
        <v>15</v>
      </c>
      <c r="H990" s="33">
        <v>46084</v>
      </c>
      <c r="I990" s="570">
        <v>0.32629629629629631</v>
      </c>
      <c r="J990" s="565">
        <v>0.70881944444444445</v>
      </c>
      <c r="K990" s="566"/>
      <c r="L990" s="566"/>
      <c r="M990" s="567"/>
      <c r="N990" s="568"/>
      <c r="O990" s="568"/>
      <c r="P990" s="569"/>
      <c r="Q990" s="26"/>
      <c r="R990" s="26"/>
      <c r="S990" s="37"/>
    </row>
    <row r="991" spans="3:19" x14ac:dyDescent="0.2">
      <c r="C991" s="582">
        <v>29</v>
      </c>
      <c r="D991" s="561" t="s">
        <v>56</v>
      </c>
      <c r="E991" s="562"/>
      <c r="F991" s="563"/>
      <c r="G991" s="39" t="s">
        <v>16</v>
      </c>
      <c r="H991" s="33">
        <v>46085</v>
      </c>
      <c r="I991" s="570">
        <v>0.32822916666666663</v>
      </c>
      <c r="J991" s="565">
        <v>0.70952546296296293</v>
      </c>
      <c r="K991" s="566"/>
      <c r="L991" s="566"/>
      <c r="M991" s="567"/>
      <c r="N991" s="568"/>
      <c r="O991" s="568"/>
      <c r="P991" s="569"/>
      <c r="Q991" s="26"/>
      <c r="R991" s="26"/>
      <c r="S991" s="37"/>
    </row>
    <row r="992" spans="3:19" x14ac:dyDescent="0.2">
      <c r="C992" s="582">
        <v>29</v>
      </c>
      <c r="D992" s="561" t="s">
        <v>56</v>
      </c>
      <c r="E992" s="562"/>
      <c r="F992" s="563"/>
      <c r="G992" s="39" t="s">
        <v>17</v>
      </c>
      <c r="H992" s="33">
        <v>46086</v>
      </c>
      <c r="I992" s="570">
        <v>0.31967592592592592</v>
      </c>
      <c r="J992" s="565">
        <v>0.7088078703703703</v>
      </c>
      <c r="K992" s="566"/>
      <c r="L992" s="566"/>
      <c r="M992" s="567"/>
      <c r="N992" s="568"/>
      <c r="O992" s="568"/>
      <c r="P992" s="569"/>
      <c r="Q992" s="26"/>
      <c r="R992" s="26"/>
      <c r="S992" s="37"/>
    </row>
    <row r="993" spans="3:24" x14ac:dyDescent="0.2">
      <c r="C993" s="582">
        <v>29</v>
      </c>
      <c r="D993" s="561" t="s">
        <v>56</v>
      </c>
      <c r="E993" s="562"/>
      <c r="F993" s="563"/>
      <c r="G993" s="45" t="s">
        <v>18</v>
      </c>
      <c r="H993" s="33">
        <v>46087</v>
      </c>
      <c r="I993" s="570">
        <v>0.32462962962962966</v>
      </c>
      <c r="J993" s="565">
        <v>0.70899305555555558</v>
      </c>
      <c r="K993" s="566"/>
      <c r="L993" s="566"/>
      <c r="M993" s="567"/>
      <c r="N993" s="568"/>
      <c r="O993" s="568"/>
      <c r="P993" s="569"/>
      <c r="Q993" s="26"/>
      <c r="R993" s="26"/>
      <c r="S993" s="37"/>
    </row>
    <row r="994" spans="3:24" x14ac:dyDescent="0.2">
      <c r="C994" s="582">
        <v>29</v>
      </c>
      <c r="D994" s="561" t="s">
        <v>56</v>
      </c>
      <c r="E994" s="562"/>
      <c r="F994" s="563"/>
      <c r="G994" s="39" t="s">
        <v>19</v>
      </c>
      <c r="H994" s="33">
        <v>46088</v>
      </c>
      <c r="I994" s="570">
        <v>0.31731481481481483</v>
      </c>
      <c r="J994" s="565">
        <v>0.54228009259259258</v>
      </c>
      <c r="K994" s="566"/>
      <c r="L994" s="566"/>
      <c r="M994" s="567"/>
      <c r="N994" s="568"/>
      <c r="O994" s="568"/>
      <c r="P994" s="569"/>
      <c r="Q994" s="26"/>
      <c r="R994" s="26"/>
      <c r="S994" s="37"/>
    </row>
    <row r="995" spans="3:24" x14ac:dyDescent="0.25">
      <c r="C995" s="582">
        <v>29</v>
      </c>
      <c r="D995" s="561" t="s">
        <v>56</v>
      </c>
      <c r="E995" s="562"/>
      <c r="F995" s="563"/>
      <c r="G995" s="46" t="s">
        <v>13</v>
      </c>
      <c r="H995" s="33">
        <v>46089</v>
      </c>
      <c r="I995" s="564"/>
      <c r="K995" s="566"/>
      <c r="L995" s="566"/>
      <c r="M995" s="567"/>
      <c r="N995" s="568"/>
      <c r="O995" s="568"/>
      <c r="P995" s="569"/>
      <c r="Q995" s="26"/>
      <c r="R995" s="26"/>
      <c r="S995" s="37"/>
    </row>
    <row r="996" spans="3:24" x14ac:dyDescent="0.25">
      <c r="C996" s="582">
        <v>29</v>
      </c>
      <c r="D996" s="561" t="s">
        <v>56</v>
      </c>
      <c r="E996" s="562"/>
      <c r="F996" s="563"/>
      <c r="G996" s="39" t="s">
        <v>14</v>
      </c>
      <c r="H996" s="33">
        <v>46090</v>
      </c>
      <c r="I996" s="5">
        <v>0.32508101851851851</v>
      </c>
      <c r="J996" s="570">
        <v>0.70848379629629632</v>
      </c>
      <c r="K996" s="566"/>
      <c r="L996" s="566"/>
      <c r="M996" s="567"/>
      <c r="N996" s="568"/>
      <c r="O996" s="568"/>
      <c r="P996" s="569"/>
      <c r="Q996" s="26"/>
      <c r="R996" s="26"/>
      <c r="S996" s="37"/>
    </row>
    <row r="997" spans="3:24" x14ac:dyDescent="0.2">
      <c r="C997" s="582">
        <v>29</v>
      </c>
      <c r="D997" s="561" t="s">
        <v>56</v>
      </c>
      <c r="E997" s="562"/>
      <c r="F997" s="563"/>
      <c r="G997" s="39" t="s">
        <v>15</v>
      </c>
      <c r="H997" s="33">
        <v>46091</v>
      </c>
      <c r="I997" s="571">
        <v>0.32569444444444445</v>
      </c>
      <c r="J997" s="565">
        <v>0.70879629629629637</v>
      </c>
      <c r="K997" s="566"/>
      <c r="L997" s="566"/>
      <c r="M997" s="567"/>
      <c r="N997" s="568"/>
      <c r="O997" s="568"/>
      <c r="P997" s="569"/>
      <c r="Q997" s="26"/>
      <c r="R997" s="26"/>
      <c r="S997" s="37"/>
    </row>
    <row r="998" spans="3:24" x14ac:dyDescent="0.2">
      <c r="C998" s="582">
        <v>29</v>
      </c>
      <c r="D998" s="561" t="s">
        <v>56</v>
      </c>
      <c r="E998" s="562"/>
      <c r="F998" s="563"/>
      <c r="G998" s="39" t="s">
        <v>16</v>
      </c>
      <c r="H998" s="33">
        <v>46092</v>
      </c>
      <c r="I998" s="570">
        <v>0.32594907407407409</v>
      </c>
      <c r="J998" s="565">
        <v>0.7085069444444444</v>
      </c>
      <c r="K998" s="566"/>
      <c r="L998" s="566"/>
      <c r="M998" s="567"/>
      <c r="N998" s="568"/>
      <c r="O998" s="568"/>
      <c r="P998" s="569"/>
      <c r="Q998" s="26"/>
      <c r="R998" s="26"/>
      <c r="S998" s="37"/>
    </row>
    <row r="999" spans="3:24" x14ac:dyDescent="0.2">
      <c r="C999" s="582">
        <v>29</v>
      </c>
      <c r="D999" s="561" t="s">
        <v>56</v>
      </c>
      <c r="E999" s="562"/>
      <c r="F999" s="563"/>
      <c r="G999" s="39" t="s">
        <v>17</v>
      </c>
      <c r="H999" s="33">
        <v>46093</v>
      </c>
      <c r="I999" s="570">
        <v>0.32313657407407409</v>
      </c>
      <c r="J999" s="565">
        <v>0.70876157407407403</v>
      </c>
      <c r="K999" s="566"/>
      <c r="L999" s="566"/>
      <c r="M999" s="567"/>
      <c r="N999" s="568"/>
      <c r="O999" s="568"/>
      <c r="P999" s="569"/>
      <c r="Q999" s="26"/>
      <c r="R999" s="26"/>
      <c r="S999" s="37"/>
    </row>
    <row r="1000" spans="3:24" x14ac:dyDescent="0.2">
      <c r="C1000" s="582">
        <v>29</v>
      </c>
      <c r="D1000" s="561" t="s">
        <v>56</v>
      </c>
      <c r="E1000" s="562"/>
      <c r="F1000" s="563"/>
      <c r="G1000" s="48" t="s">
        <v>18</v>
      </c>
      <c r="H1000" s="33">
        <v>46094</v>
      </c>
      <c r="I1000" s="571">
        <v>0.32184027777777779</v>
      </c>
      <c r="J1000" s="565">
        <v>0.70848379629629632</v>
      </c>
      <c r="K1000" s="566"/>
      <c r="L1000" s="566"/>
      <c r="M1000" s="567"/>
      <c r="N1000" s="568"/>
      <c r="O1000" s="568"/>
      <c r="P1000" s="569"/>
      <c r="Q1000" s="26"/>
      <c r="R1000" s="26"/>
      <c r="S1000" s="37"/>
    </row>
    <row r="1001" spans="3:24" x14ac:dyDescent="0.2">
      <c r="C1001" s="582">
        <v>29</v>
      </c>
      <c r="D1001" s="561" t="s">
        <v>56</v>
      </c>
      <c r="E1001" s="562"/>
      <c r="F1001" s="563"/>
      <c r="G1001" s="39" t="s">
        <v>19</v>
      </c>
      <c r="H1001" s="33">
        <v>46095</v>
      </c>
      <c r="I1001" s="570">
        <v>0.32866898148148149</v>
      </c>
      <c r="J1001" s="565"/>
      <c r="K1001" s="566"/>
      <c r="L1001" s="566"/>
      <c r="M1001" s="567"/>
      <c r="N1001" s="568"/>
      <c r="O1001" s="568"/>
      <c r="P1001" s="569"/>
      <c r="Q1001" s="26"/>
      <c r="R1001" s="26"/>
      <c r="S1001" s="37"/>
    </row>
    <row r="1002" spans="3:24" x14ac:dyDescent="0.2">
      <c r="C1002" s="582">
        <v>29</v>
      </c>
      <c r="D1002" s="561" t="s">
        <v>56</v>
      </c>
      <c r="E1002" s="562"/>
      <c r="F1002" s="563"/>
      <c r="G1002" s="46" t="s">
        <v>13</v>
      </c>
      <c r="H1002" s="33">
        <v>46096</v>
      </c>
      <c r="I1002" s="570"/>
      <c r="J1002" s="565"/>
      <c r="K1002" s="566"/>
      <c r="L1002" s="566"/>
      <c r="M1002" s="567"/>
      <c r="N1002" s="568"/>
      <c r="O1002" s="568"/>
      <c r="P1002" s="44"/>
      <c r="Q1002" s="26"/>
      <c r="R1002" s="26"/>
      <c r="S1002" s="37"/>
    </row>
    <row r="1003" spans="3:24" x14ac:dyDescent="0.2">
      <c r="C1003" s="582">
        <v>29</v>
      </c>
      <c r="D1003" s="561" t="s">
        <v>56</v>
      </c>
      <c r="E1003" s="562"/>
      <c r="F1003" s="563"/>
      <c r="G1003" s="39" t="s">
        <v>14</v>
      </c>
      <c r="H1003" s="33">
        <v>46097</v>
      </c>
      <c r="I1003" s="564"/>
      <c r="J1003" s="565"/>
      <c r="K1003" s="566"/>
      <c r="L1003" s="566"/>
      <c r="M1003" s="567"/>
      <c r="N1003" s="568"/>
      <c r="O1003" s="568"/>
      <c r="P1003" s="569"/>
      <c r="Q1003" s="26"/>
      <c r="R1003" s="26"/>
      <c r="S1003" s="37"/>
    </row>
    <row r="1004" spans="3:24" x14ac:dyDescent="0.2">
      <c r="C1004" s="582">
        <v>29</v>
      </c>
      <c r="D1004" s="561" t="s">
        <v>56</v>
      </c>
      <c r="E1004" s="562"/>
      <c r="F1004" s="563"/>
      <c r="G1004" s="39" t="s">
        <v>15</v>
      </c>
      <c r="H1004" s="33">
        <v>46098</v>
      </c>
      <c r="I1004" s="564"/>
      <c r="J1004" s="565"/>
      <c r="K1004" s="566"/>
      <c r="L1004" s="566"/>
      <c r="M1004" s="567"/>
      <c r="N1004" s="568"/>
      <c r="O1004" s="568"/>
      <c r="P1004" s="569"/>
      <c r="Q1004" s="26"/>
      <c r="R1004" s="26"/>
      <c r="S1004" s="37"/>
    </row>
    <row r="1005" spans="3:24" x14ac:dyDescent="0.2">
      <c r="C1005" s="582">
        <v>29</v>
      </c>
      <c r="D1005" s="561" t="s">
        <v>56</v>
      </c>
      <c r="E1005" s="562"/>
      <c r="F1005" s="563"/>
      <c r="G1005" s="39" t="s">
        <v>16</v>
      </c>
      <c r="H1005" s="33">
        <v>46099</v>
      </c>
      <c r="I1005" s="571"/>
      <c r="J1005" s="565"/>
      <c r="K1005" s="566"/>
      <c r="L1005" s="566"/>
      <c r="M1005" s="567"/>
      <c r="N1005" s="568"/>
      <c r="O1005" s="568"/>
      <c r="P1005" s="569"/>
      <c r="Q1005" s="26"/>
      <c r="R1005" s="26"/>
      <c r="S1005" s="37"/>
      <c r="X1005" s="583"/>
    </row>
    <row r="1006" spans="3:24" x14ac:dyDescent="0.2">
      <c r="C1006" s="582">
        <v>29</v>
      </c>
      <c r="D1006" s="561" t="s">
        <v>56</v>
      </c>
      <c r="E1006" s="562"/>
      <c r="F1006" s="563"/>
      <c r="G1006" s="39" t="s">
        <v>17</v>
      </c>
      <c r="H1006" s="33">
        <v>46100</v>
      </c>
      <c r="I1006" s="571"/>
      <c r="J1006" s="565"/>
      <c r="K1006" s="566"/>
      <c r="L1006" s="566"/>
      <c r="M1006" s="567"/>
      <c r="N1006" s="568"/>
      <c r="O1006" s="568"/>
      <c r="P1006" s="569"/>
      <c r="Q1006" s="26"/>
      <c r="R1006" s="26"/>
      <c r="S1006" s="37"/>
      <c r="X1006" s="583"/>
    </row>
    <row r="1007" spans="3:24" x14ac:dyDescent="0.2">
      <c r="C1007" s="582">
        <v>29</v>
      </c>
      <c r="D1007" s="561" t="s">
        <v>56</v>
      </c>
      <c r="E1007" s="562"/>
      <c r="F1007" s="563"/>
      <c r="G1007" s="39" t="s">
        <v>18</v>
      </c>
      <c r="H1007" s="33">
        <v>46101</v>
      </c>
      <c r="I1007" s="570"/>
      <c r="J1007" s="565"/>
      <c r="K1007" s="566"/>
      <c r="L1007" s="566"/>
      <c r="M1007" s="567"/>
      <c r="N1007" s="568"/>
      <c r="O1007" s="568"/>
      <c r="P1007" s="569"/>
      <c r="Q1007" s="26"/>
      <c r="R1007" s="26"/>
      <c r="S1007" s="37"/>
      <c r="X1007" s="583"/>
    </row>
    <row r="1008" spans="3:24" x14ac:dyDescent="0.2">
      <c r="C1008" s="582">
        <v>29</v>
      </c>
      <c r="D1008" s="561" t="s">
        <v>56</v>
      </c>
      <c r="E1008" s="562"/>
      <c r="F1008" s="563"/>
      <c r="G1008" s="39" t="s">
        <v>19</v>
      </c>
      <c r="H1008" s="33">
        <v>46102</v>
      </c>
      <c r="I1008" s="570"/>
      <c r="J1008" s="565"/>
      <c r="K1008" s="566"/>
      <c r="L1008" s="566"/>
      <c r="M1008" s="567"/>
      <c r="N1008" s="568"/>
      <c r="O1008" s="568"/>
      <c r="P1008" s="569"/>
      <c r="Q1008" s="26"/>
      <c r="R1008" s="26"/>
      <c r="S1008" s="37"/>
      <c r="X1008" s="583"/>
    </row>
    <row r="1009" spans="3:24" x14ac:dyDescent="0.2">
      <c r="C1009" s="582">
        <v>29</v>
      </c>
      <c r="D1009" s="561" t="s">
        <v>56</v>
      </c>
      <c r="E1009" s="562"/>
      <c r="F1009" s="563"/>
      <c r="G1009" s="46" t="s">
        <v>13</v>
      </c>
      <c r="H1009" s="33">
        <v>46103</v>
      </c>
      <c r="I1009" s="570"/>
      <c r="J1009" s="565"/>
      <c r="K1009" s="566"/>
      <c r="L1009" s="566"/>
      <c r="M1009" s="567"/>
      <c r="N1009" s="568"/>
      <c r="O1009" s="568"/>
      <c r="P1009" s="569"/>
      <c r="Q1009" s="26"/>
      <c r="R1009" s="26"/>
      <c r="S1009" s="37"/>
      <c r="X1009" s="583"/>
    </row>
    <row r="1010" spans="3:24" x14ac:dyDescent="0.2">
      <c r="C1010" s="582">
        <v>29</v>
      </c>
      <c r="D1010" s="561" t="s">
        <v>56</v>
      </c>
      <c r="E1010" s="562"/>
      <c r="F1010" s="563"/>
      <c r="G1010" s="39" t="s">
        <v>14</v>
      </c>
      <c r="H1010" s="33">
        <v>46104</v>
      </c>
      <c r="I1010" s="571"/>
      <c r="J1010" s="565"/>
      <c r="K1010" s="566"/>
      <c r="L1010" s="566"/>
      <c r="M1010" s="567"/>
      <c r="N1010" s="568"/>
      <c r="O1010" s="568"/>
      <c r="P1010" s="569"/>
      <c r="Q1010" s="26"/>
      <c r="R1010" s="26"/>
      <c r="S1010" s="37"/>
      <c r="X1010" s="583"/>
    </row>
    <row r="1011" spans="3:24" x14ac:dyDescent="0.2">
      <c r="C1011" s="582">
        <v>29</v>
      </c>
      <c r="D1011" s="561" t="s">
        <v>56</v>
      </c>
      <c r="E1011" s="562"/>
      <c r="F1011" s="563"/>
      <c r="G1011" s="39" t="s">
        <v>15</v>
      </c>
      <c r="H1011" s="33">
        <v>46105</v>
      </c>
      <c r="I1011" s="570"/>
      <c r="J1011" s="565"/>
      <c r="K1011" s="566"/>
      <c r="L1011" s="566"/>
      <c r="M1011" s="567"/>
      <c r="N1011" s="568"/>
      <c r="O1011" s="568"/>
      <c r="P1011" s="569"/>
      <c r="Q1011" s="26"/>
      <c r="R1011" s="26"/>
      <c r="S1011" s="37"/>
      <c r="X1011" s="583"/>
    </row>
    <row r="1012" spans="3:24" x14ac:dyDescent="0.2">
      <c r="C1012" s="582">
        <v>29</v>
      </c>
      <c r="D1012" s="561" t="s">
        <v>56</v>
      </c>
      <c r="E1012" s="562"/>
      <c r="F1012" s="563"/>
      <c r="G1012" s="39" t="s">
        <v>16</v>
      </c>
      <c r="H1012" s="33">
        <v>46106</v>
      </c>
      <c r="I1012" s="570"/>
      <c r="J1012" s="565"/>
      <c r="K1012" s="566"/>
      <c r="L1012" s="566"/>
      <c r="M1012" s="567"/>
      <c r="N1012" s="568"/>
      <c r="O1012" s="568"/>
      <c r="P1012" s="569"/>
      <c r="Q1012" s="26"/>
      <c r="R1012" s="26"/>
      <c r="S1012" s="37"/>
      <c r="X1012" s="583"/>
    </row>
    <row r="1013" spans="3:24" x14ac:dyDescent="0.2">
      <c r="C1013" s="582">
        <v>29</v>
      </c>
      <c r="D1013" s="561" t="s">
        <v>56</v>
      </c>
      <c r="E1013" s="562"/>
      <c r="F1013" s="563"/>
      <c r="G1013" s="39" t="s">
        <v>17</v>
      </c>
      <c r="H1013" s="33">
        <v>46107</v>
      </c>
      <c r="I1013" s="571"/>
      <c r="J1013" s="565"/>
      <c r="K1013" s="566"/>
      <c r="L1013" s="566"/>
      <c r="M1013" s="567"/>
      <c r="N1013" s="568"/>
      <c r="O1013" s="568"/>
      <c r="P1013" s="569"/>
      <c r="Q1013" s="26"/>
      <c r="R1013" s="26"/>
      <c r="S1013" s="37"/>
    </row>
    <row r="1014" spans="3:24" x14ac:dyDescent="0.2">
      <c r="C1014" s="582">
        <v>29</v>
      </c>
      <c r="D1014" s="561" t="s">
        <v>56</v>
      </c>
      <c r="E1014" s="562"/>
      <c r="F1014" s="563"/>
      <c r="G1014" s="39" t="s">
        <v>18</v>
      </c>
      <c r="H1014" s="33">
        <v>46108</v>
      </c>
      <c r="I1014" s="570"/>
      <c r="J1014" s="565"/>
      <c r="K1014" s="566"/>
      <c r="L1014" s="566"/>
      <c r="M1014" s="567"/>
      <c r="N1014" s="568"/>
      <c r="O1014" s="568"/>
      <c r="P1014" s="569"/>
      <c r="Q1014" s="26"/>
      <c r="R1014" s="26"/>
      <c r="S1014" s="37"/>
    </row>
    <row r="1015" spans="3:24" x14ac:dyDescent="0.2">
      <c r="C1015" s="582">
        <v>29</v>
      </c>
      <c r="D1015" s="561" t="s">
        <v>56</v>
      </c>
      <c r="E1015" s="562"/>
      <c r="F1015" s="563"/>
      <c r="G1015" s="39" t="s">
        <v>19</v>
      </c>
      <c r="H1015" s="33">
        <v>46109</v>
      </c>
      <c r="I1015" s="570"/>
      <c r="J1015" s="565"/>
      <c r="K1015" s="566"/>
      <c r="L1015" s="566"/>
      <c r="M1015" s="567"/>
      <c r="N1015" s="568"/>
      <c r="O1015" s="568"/>
      <c r="P1015" s="569"/>
      <c r="Q1015" s="26"/>
      <c r="R1015" s="26"/>
      <c r="S1015" s="37"/>
    </row>
    <row r="1016" spans="3:24" x14ac:dyDescent="0.2">
      <c r="C1016" s="582">
        <v>29</v>
      </c>
      <c r="D1016" s="561" t="s">
        <v>56</v>
      </c>
      <c r="E1016" s="562"/>
      <c r="F1016" s="563"/>
      <c r="G1016" s="46" t="s">
        <v>13</v>
      </c>
      <c r="H1016" s="33">
        <v>46110</v>
      </c>
      <c r="I1016" s="570"/>
      <c r="J1016" s="565"/>
      <c r="K1016" s="566"/>
      <c r="L1016" s="566"/>
      <c r="M1016" s="567"/>
      <c r="N1016" s="568"/>
      <c r="O1016" s="568"/>
      <c r="P1016" s="569"/>
      <c r="Q1016" s="26"/>
      <c r="R1016" s="26"/>
      <c r="S1016" s="37"/>
    </row>
    <row r="1017" spans="3:24" x14ac:dyDescent="0.2">
      <c r="C1017" s="582">
        <v>29</v>
      </c>
      <c r="D1017" s="561" t="s">
        <v>56</v>
      </c>
      <c r="E1017" s="562"/>
      <c r="F1017" s="563"/>
      <c r="G1017" s="39" t="s">
        <v>14</v>
      </c>
      <c r="H1017" s="33">
        <v>46111</v>
      </c>
      <c r="I1017" s="570"/>
      <c r="J1017" s="565"/>
      <c r="K1017" s="566"/>
      <c r="L1017" s="566"/>
      <c r="M1017" s="567"/>
      <c r="N1017" s="568"/>
      <c r="O1017" s="568"/>
      <c r="P1017" s="569"/>
      <c r="Q1017" s="26"/>
      <c r="R1017" s="26"/>
      <c r="S1017" s="37"/>
    </row>
    <row r="1018" spans="3:24" x14ac:dyDescent="0.2">
      <c r="C1018" s="582">
        <v>29</v>
      </c>
      <c r="D1018" s="561" t="s">
        <v>56</v>
      </c>
      <c r="E1018" s="562"/>
      <c r="F1018" s="563"/>
      <c r="G1018" s="39" t="s">
        <v>15</v>
      </c>
      <c r="H1018" s="33">
        <v>46112</v>
      </c>
      <c r="I1018" s="570"/>
      <c r="J1018" s="565"/>
      <c r="K1018" s="566"/>
      <c r="L1018" s="566"/>
      <c r="M1018" s="567"/>
      <c r="N1018" s="568"/>
      <c r="O1018" s="568"/>
      <c r="P1018" s="569"/>
      <c r="Q1018" s="26"/>
      <c r="R1018" s="26"/>
      <c r="S1018" s="37"/>
    </row>
    <row r="1019" spans="3:24" x14ac:dyDescent="0.2">
      <c r="C1019" s="573"/>
      <c r="D1019" s="574"/>
      <c r="E1019" s="575"/>
      <c r="F1019" s="577"/>
      <c r="G1019" s="89"/>
      <c r="H1019" s="89"/>
      <c r="I1019" s="458" t="str">
        <f>D991</f>
        <v>ZAENUDIN</v>
      </c>
      <c r="J1019" s="579" t="s">
        <v>20</v>
      </c>
      <c r="K1019" s="580"/>
      <c r="L1019" s="580"/>
      <c r="M1019" s="584">
        <f>SUM(M988:M1018)</f>
        <v>0</v>
      </c>
      <c r="N1019" s="584">
        <f t="shared" ref="N1019:O1019" si="23">SUM(N988:N1018)</f>
        <v>0</v>
      </c>
      <c r="O1019" s="584">
        <f t="shared" si="23"/>
        <v>0</v>
      </c>
      <c r="P1019" s="569"/>
      <c r="Q1019" s="26"/>
      <c r="R1019" s="26"/>
      <c r="S1019" s="37"/>
    </row>
    <row r="1020" spans="3:24" x14ac:dyDescent="0.2">
      <c r="C1020" s="585"/>
      <c r="D1020" s="586"/>
      <c r="E1020" s="587"/>
      <c r="F1020" s="587"/>
      <c r="G1020" s="588"/>
      <c r="H1020" s="589"/>
      <c r="I1020" s="590"/>
      <c r="J1020" s="590"/>
      <c r="K1020" s="589"/>
      <c r="L1020" s="589"/>
      <c r="M1020" s="589"/>
      <c r="N1020" s="591"/>
      <c r="O1020" s="591"/>
      <c r="P1020" s="592"/>
      <c r="Q1020" s="26"/>
      <c r="R1020" s="26"/>
      <c r="S1020" s="37"/>
    </row>
    <row r="1021" spans="3:24" x14ac:dyDescent="0.2">
      <c r="C1021" s="58"/>
      <c r="D1021" s="59"/>
      <c r="E1021" s="60"/>
      <c r="F1021" s="60"/>
      <c r="G1021" s="61"/>
      <c r="H1021" s="62"/>
      <c r="I1021" s="63"/>
      <c r="J1021" s="63"/>
      <c r="K1021" s="62"/>
      <c r="L1021" s="62"/>
      <c r="M1021" s="62"/>
      <c r="N1021" s="64"/>
      <c r="O1021" s="64"/>
      <c r="P1021" s="65"/>
      <c r="Q1021" s="26"/>
      <c r="R1021" s="26"/>
      <c r="S1021" s="37"/>
    </row>
    <row r="1022" spans="3:24" x14ac:dyDescent="0.2">
      <c r="C1022" s="365" t="s">
        <v>1</v>
      </c>
      <c r="D1022" s="67" t="s">
        <v>2</v>
      </c>
      <c r="E1022" s="68" t="s">
        <v>3</v>
      </c>
      <c r="F1022" s="68" t="s">
        <v>4</v>
      </c>
      <c r="G1022" s="69" t="s">
        <v>5</v>
      </c>
      <c r="H1022" s="68" t="s">
        <v>6</v>
      </c>
      <c r="I1022" s="70" t="s">
        <v>7</v>
      </c>
      <c r="J1022" s="70" t="s">
        <v>8</v>
      </c>
      <c r="K1022" s="71"/>
      <c r="L1022" s="72"/>
      <c r="M1022" s="72" t="s">
        <v>9</v>
      </c>
      <c r="N1022" s="73" t="s">
        <v>10</v>
      </c>
      <c r="O1022" s="73" t="s">
        <v>11</v>
      </c>
      <c r="P1022" s="198"/>
      <c r="Q1022" s="26"/>
      <c r="R1022" s="26"/>
      <c r="S1022" s="37"/>
    </row>
    <row r="1023" spans="3:24" x14ac:dyDescent="0.2">
      <c r="C1023" s="593">
        <v>30</v>
      </c>
      <c r="D1023" s="594" t="s">
        <v>57</v>
      </c>
      <c r="E1023" s="595" t="s">
        <v>22</v>
      </c>
      <c r="F1023" s="596"/>
      <c r="G1023" s="32" t="s">
        <v>13</v>
      </c>
      <c r="H1023" s="33">
        <v>46082</v>
      </c>
      <c r="I1023" s="597"/>
      <c r="J1023" s="598" t="s">
        <v>58</v>
      </c>
      <c r="K1023" s="599"/>
      <c r="L1023" s="599"/>
      <c r="M1023" s="600"/>
      <c r="N1023" s="601"/>
      <c r="O1023" s="601">
        <v>1</v>
      </c>
      <c r="P1023" s="602"/>
      <c r="Q1023" s="26"/>
      <c r="R1023" s="26"/>
      <c r="S1023" s="37"/>
    </row>
    <row r="1024" spans="3:24" x14ac:dyDescent="0.2">
      <c r="C1024" s="593">
        <v>30</v>
      </c>
      <c r="D1024" s="594" t="s">
        <v>57</v>
      </c>
      <c r="E1024" s="595" t="s">
        <v>22</v>
      </c>
      <c r="F1024" s="596"/>
      <c r="G1024" s="29" t="s">
        <v>14</v>
      </c>
      <c r="H1024" s="33">
        <v>46083</v>
      </c>
      <c r="I1024" s="603">
        <v>0.33391203703703703</v>
      </c>
      <c r="J1024" s="598" t="s">
        <v>59</v>
      </c>
      <c r="K1024" s="599"/>
      <c r="L1024" s="599"/>
      <c r="M1024" s="600"/>
      <c r="N1024" s="601"/>
      <c r="O1024" s="601"/>
      <c r="P1024" s="602"/>
      <c r="Q1024" s="26"/>
      <c r="R1024" s="26"/>
      <c r="S1024" s="37"/>
    </row>
    <row r="1025" spans="3:19" x14ac:dyDescent="0.2">
      <c r="C1025" s="593">
        <v>30</v>
      </c>
      <c r="D1025" s="594" t="s">
        <v>57</v>
      </c>
      <c r="E1025" s="595" t="s">
        <v>22</v>
      </c>
      <c r="F1025" s="596"/>
      <c r="G1025" s="39" t="s">
        <v>15</v>
      </c>
      <c r="H1025" s="33">
        <v>46084</v>
      </c>
      <c r="I1025" s="604">
        <v>0.32886574074074076</v>
      </c>
      <c r="J1025" s="598">
        <v>0.80483796296296306</v>
      </c>
      <c r="K1025" s="599"/>
      <c r="L1025" s="599"/>
      <c r="M1025" s="600">
        <v>2</v>
      </c>
      <c r="N1025" s="601"/>
      <c r="O1025" s="601"/>
      <c r="P1025" s="602"/>
      <c r="Q1025" s="26"/>
      <c r="R1025" s="26"/>
      <c r="S1025" s="37"/>
    </row>
    <row r="1026" spans="3:19" x14ac:dyDescent="0.2">
      <c r="C1026" s="593">
        <v>30</v>
      </c>
      <c r="D1026" s="594" t="s">
        <v>57</v>
      </c>
      <c r="E1026" s="595" t="s">
        <v>22</v>
      </c>
      <c r="F1026" s="596"/>
      <c r="G1026" s="39" t="s">
        <v>16</v>
      </c>
      <c r="H1026" s="33">
        <v>46085</v>
      </c>
      <c r="I1026" s="604">
        <v>0.33031250000000001</v>
      </c>
      <c r="J1026" s="598">
        <v>0.7144328703703704</v>
      </c>
      <c r="K1026" s="599"/>
      <c r="L1026" s="599"/>
      <c r="M1026" s="600"/>
      <c r="N1026" s="601"/>
      <c r="O1026" s="601"/>
      <c r="P1026" s="602"/>
      <c r="Q1026" s="26"/>
      <c r="R1026" s="26"/>
      <c r="S1026" s="37"/>
    </row>
    <row r="1027" spans="3:19" x14ac:dyDescent="0.2">
      <c r="C1027" s="593">
        <v>30</v>
      </c>
      <c r="D1027" s="594" t="s">
        <v>57</v>
      </c>
      <c r="E1027" s="595"/>
      <c r="F1027" s="596"/>
      <c r="G1027" s="39" t="s">
        <v>17</v>
      </c>
      <c r="H1027" s="33">
        <v>46086</v>
      </c>
      <c r="I1027" s="604">
        <v>0.33121527777777776</v>
      </c>
      <c r="J1027" s="598">
        <v>0.80415509259259255</v>
      </c>
      <c r="K1027" s="599"/>
      <c r="L1027" s="599"/>
      <c r="M1027" s="600">
        <v>2</v>
      </c>
      <c r="N1027" s="601"/>
      <c r="O1027" s="601"/>
      <c r="P1027" s="602"/>
      <c r="Q1027" s="26"/>
      <c r="R1027" s="26"/>
      <c r="S1027" s="37"/>
    </row>
    <row r="1028" spans="3:19" x14ac:dyDescent="0.2">
      <c r="C1028" s="593">
        <v>30</v>
      </c>
      <c r="D1028" s="594" t="s">
        <v>57</v>
      </c>
      <c r="E1028" s="605"/>
      <c r="F1028" s="606"/>
      <c r="G1028" s="45" t="s">
        <v>18</v>
      </c>
      <c r="H1028" s="33">
        <v>46087</v>
      </c>
      <c r="I1028" s="604">
        <v>0.32944444444444443</v>
      </c>
      <c r="J1028" s="598">
        <v>0.71059027777777783</v>
      </c>
      <c r="K1028" s="599"/>
      <c r="L1028" s="599"/>
      <c r="M1028" s="600"/>
      <c r="N1028" s="601"/>
      <c r="O1028" s="601"/>
      <c r="P1028" s="602"/>
      <c r="Q1028" s="26"/>
      <c r="R1028" s="26"/>
      <c r="S1028" s="37"/>
    </row>
    <row r="1029" spans="3:19" x14ac:dyDescent="0.2">
      <c r="C1029" s="593">
        <v>30</v>
      </c>
      <c r="D1029" s="594" t="s">
        <v>57</v>
      </c>
      <c r="E1029" s="605"/>
      <c r="F1029" s="606"/>
      <c r="G1029" s="39" t="s">
        <v>19</v>
      </c>
      <c r="H1029" s="33">
        <v>46088</v>
      </c>
      <c r="I1029" s="604">
        <v>0.3293402777777778</v>
      </c>
      <c r="J1029" s="598">
        <v>0.54281250000000003</v>
      </c>
      <c r="K1029" s="599"/>
      <c r="L1029" s="599"/>
      <c r="M1029" s="600"/>
      <c r="N1029" s="601"/>
      <c r="O1029" s="601"/>
      <c r="P1029" s="602"/>
      <c r="Q1029" s="26"/>
      <c r="R1029" s="26"/>
      <c r="S1029" s="37"/>
    </row>
    <row r="1030" spans="3:19" x14ac:dyDescent="0.25">
      <c r="C1030" s="593">
        <v>30</v>
      </c>
      <c r="D1030" s="594" t="s">
        <v>57</v>
      </c>
      <c r="E1030" s="605"/>
      <c r="F1030" s="606"/>
      <c r="G1030" s="46" t="s">
        <v>13</v>
      </c>
      <c r="H1030" s="33">
        <v>46089</v>
      </c>
      <c r="I1030" s="603">
        <v>0.32446759259259261</v>
      </c>
      <c r="J1030" s="5">
        <v>0.66734953703703714</v>
      </c>
      <c r="K1030" s="599"/>
      <c r="L1030" s="599"/>
      <c r="M1030" s="600"/>
      <c r="N1030" s="601"/>
      <c r="O1030" s="601">
        <v>1</v>
      </c>
      <c r="P1030" s="602"/>
      <c r="Q1030" s="26"/>
      <c r="R1030" s="26"/>
      <c r="S1030" s="37"/>
    </row>
    <row r="1031" spans="3:19" x14ac:dyDescent="0.25">
      <c r="C1031" s="593">
        <v>30</v>
      </c>
      <c r="D1031" s="594" t="s">
        <v>57</v>
      </c>
      <c r="E1031" s="605" t="s">
        <v>22</v>
      </c>
      <c r="F1031" s="606"/>
      <c r="G1031" s="39" t="s">
        <v>14</v>
      </c>
      <c r="H1031" s="33">
        <v>46090</v>
      </c>
      <c r="I1031" s="5">
        <v>0.78587962962962965</v>
      </c>
      <c r="J1031" s="604">
        <v>0.20848379629629629</v>
      </c>
      <c r="K1031" s="599"/>
      <c r="L1031" s="599"/>
      <c r="M1031" s="600">
        <v>2</v>
      </c>
      <c r="N1031" s="601"/>
      <c r="O1031" s="601"/>
      <c r="P1031" s="602"/>
      <c r="Q1031" s="26"/>
      <c r="R1031" s="26"/>
      <c r="S1031" s="37"/>
    </row>
    <row r="1032" spans="3:19" x14ac:dyDescent="0.25">
      <c r="C1032" s="593">
        <v>30</v>
      </c>
      <c r="D1032" s="607" t="s">
        <v>57</v>
      </c>
      <c r="E1032" s="608" t="s">
        <v>22</v>
      </c>
      <c r="F1032" s="609"/>
      <c r="G1032" s="39" t="s">
        <v>15</v>
      </c>
      <c r="H1032" s="33">
        <v>46091</v>
      </c>
      <c r="I1032" s="603">
        <v>0.7855671296296296</v>
      </c>
      <c r="J1032" s="598">
        <v>0.20844907407407409</v>
      </c>
      <c r="K1032" s="599"/>
      <c r="L1032" s="599"/>
      <c r="M1032" s="600">
        <v>2</v>
      </c>
      <c r="N1032" s="601"/>
      <c r="O1032" s="601"/>
      <c r="P1032" s="602"/>
      <c r="Q1032" s="26"/>
      <c r="R1032" s="26"/>
      <c r="S1032" s="37"/>
    </row>
    <row r="1033" spans="3:19" x14ac:dyDescent="0.25">
      <c r="C1033" s="593">
        <v>30</v>
      </c>
      <c r="D1033" s="607" t="s">
        <v>57</v>
      </c>
      <c r="E1033" s="608"/>
      <c r="F1033" s="609"/>
      <c r="G1033" s="39" t="s">
        <v>16</v>
      </c>
      <c r="H1033" s="33">
        <v>46092</v>
      </c>
      <c r="I1033" s="603">
        <v>0.7850462962962963</v>
      </c>
      <c r="J1033" s="598">
        <v>0.20857638888888888</v>
      </c>
      <c r="K1033" s="599"/>
      <c r="L1033" s="599"/>
      <c r="M1033" s="600"/>
      <c r="N1033" s="601"/>
      <c r="O1033" s="601"/>
      <c r="P1033" s="602"/>
      <c r="Q1033" s="26"/>
      <c r="R1033" s="26"/>
      <c r="S1033" s="37"/>
    </row>
    <row r="1034" spans="3:19" x14ac:dyDescent="0.25">
      <c r="C1034" s="593">
        <v>30</v>
      </c>
      <c r="D1034" s="607" t="s">
        <v>57</v>
      </c>
      <c r="E1034" s="608"/>
      <c r="F1034" s="609"/>
      <c r="G1034" s="39" t="s">
        <v>17</v>
      </c>
      <c r="H1034" s="33">
        <v>46093</v>
      </c>
      <c r="I1034" s="603">
        <v>0.70302083333333332</v>
      </c>
      <c r="J1034" s="598">
        <v>5.2141203703703703E-2</v>
      </c>
      <c r="K1034" s="599"/>
      <c r="L1034" s="599"/>
      <c r="M1034" s="600"/>
      <c r="N1034" s="601"/>
      <c r="O1034" s="601"/>
      <c r="P1034" s="602"/>
      <c r="Q1034" s="26"/>
      <c r="R1034" s="26"/>
      <c r="S1034" s="37"/>
    </row>
    <row r="1035" spans="3:19" x14ac:dyDescent="0.25">
      <c r="C1035" s="593">
        <v>30</v>
      </c>
      <c r="D1035" s="607" t="s">
        <v>57</v>
      </c>
      <c r="E1035" s="608" t="s">
        <v>22</v>
      </c>
      <c r="F1035" s="609"/>
      <c r="G1035" s="48" t="s">
        <v>18</v>
      </c>
      <c r="H1035" s="33">
        <v>46094</v>
      </c>
      <c r="I1035" s="603">
        <v>0.70300925925925928</v>
      </c>
      <c r="J1035" s="598">
        <v>5.2280092592592593E-2</v>
      </c>
      <c r="K1035" s="599"/>
      <c r="L1035" s="599"/>
      <c r="M1035" s="600"/>
      <c r="N1035" s="601"/>
      <c r="O1035" s="601"/>
      <c r="P1035" s="602"/>
      <c r="Q1035" s="26"/>
      <c r="R1035" s="26"/>
      <c r="S1035" s="37"/>
    </row>
    <row r="1036" spans="3:19" x14ac:dyDescent="0.25">
      <c r="C1036" s="593">
        <v>30</v>
      </c>
      <c r="D1036" s="607" t="s">
        <v>57</v>
      </c>
      <c r="E1036" s="608" t="s">
        <v>22</v>
      </c>
      <c r="F1036" s="609"/>
      <c r="G1036" s="39" t="s">
        <v>19</v>
      </c>
      <c r="H1036" s="33">
        <v>46095</v>
      </c>
      <c r="I1036" s="603"/>
      <c r="J1036" s="598"/>
      <c r="K1036" s="599"/>
      <c r="L1036" s="599"/>
      <c r="M1036" s="600"/>
      <c r="N1036" s="601"/>
      <c r="O1036" s="601"/>
      <c r="P1036" s="602"/>
      <c r="Q1036" s="26"/>
      <c r="R1036" s="26"/>
      <c r="S1036" s="37"/>
    </row>
    <row r="1037" spans="3:19" x14ac:dyDescent="0.25">
      <c r="C1037" s="593">
        <v>30</v>
      </c>
      <c r="D1037" s="607" t="s">
        <v>57</v>
      </c>
      <c r="E1037" s="608" t="s">
        <v>22</v>
      </c>
      <c r="F1037" s="609"/>
      <c r="G1037" s="46" t="s">
        <v>13</v>
      </c>
      <c r="H1037" s="33">
        <v>46096</v>
      </c>
      <c r="I1037" s="603"/>
      <c r="J1037" s="598"/>
      <c r="K1037" s="599"/>
      <c r="L1037" s="599"/>
      <c r="M1037" s="600"/>
      <c r="N1037" s="601"/>
      <c r="O1037" s="601"/>
      <c r="P1037" s="44"/>
      <c r="Q1037" s="26"/>
      <c r="R1037" s="26"/>
      <c r="S1037" s="37"/>
    </row>
    <row r="1038" spans="3:19" x14ac:dyDescent="0.25">
      <c r="C1038" s="593">
        <v>30</v>
      </c>
      <c r="D1038" s="607" t="s">
        <v>57</v>
      </c>
      <c r="E1038" s="608" t="s">
        <v>22</v>
      </c>
      <c r="F1038" s="609"/>
      <c r="G1038" s="39" t="s">
        <v>14</v>
      </c>
      <c r="H1038" s="33">
        <v>46097</v>
      </c>
      <c r="I1038" s="603"/>
      <c r="J1038" s="598"/>
      <c r="K1038" s="599"/>
      <c r="L1038" s="599"/>
      <c r="M1038" s="600"/>
      <c r="N1038" s="601"/>
      <c r="O1038" s="601"/>
      <c r="P1038" s="602"/>
      <c r="Q1038" s="26"/>
      <c r="R1038" s="26"/>
      <c r="S1038" s="37"/>
    </row>
    <row r="1039" spans="3:19" x14ac:dyDescent="0.25">
      <c r="C1039" s="593">
        <v>30</v>
      </c>
      <c r="D1039" s="607" t="s">
        <v>57</v>
      </c>
      <c r="E1039" s="608" t="s">
        <v>22</v>
      </c>
      <c r="F1039" s="609"/>
      <c r="G1039" s="39" t="s">
        <v>15</v>
      </c>
      <c r="H1039" s="33">
        <v>46098</v>
      </c>
      <c r="I1039" s="603"/>
      <c r="J1039" s="598"/>
      <c r="K1039" s="599"/>
      <c r="L1039" s="599"/>
      <c r="M1039" s="600"/>
      <c r="N1039" s="601"/>
      <c r="O1039" s="601"/>
      <c r="P1039" s="602"/>
      <c r="Q1039" s="26"/>
      <c r="R1039" s="26"/>
      <c r="S1039" s="37"/>
    </row>
    <row r="1040" spans="3:19" x14ac:dyDescent="0.25">
      <c r="C1040" s="593">
        <v>30</v>
      </c>
      <c r="D1040" s="607" t="s">
        <v>57</v>
      </c>
      <c r="E1040" s="608" t="s">
        <v>22</v>
      </c>
      <c r="F1040" s="609"/>
      <c r="G1040" s="39" t="s">
        <v>16</v>
      </c>
      <c r="H1040" s="33">
        <v>46099</v>
      </c>
      <c r="I1040" s="603"/>
      <c r="J1040" s="598"/>
      <c r="K1040" s="599"/>
      <c r="L1040" s="599"/>
      <c r="M1040" s="600"/>
      <c r="N1040" s="601"/>
      <c r="O1040" s="601"/>
      <c r="P1040" s="602"/>
      <c r="Q1040" s="26"/>
      <c r="R1040" s="26"/>
      <c r="S1040" s="37"/>
    </row>
    <row r="1041" spans="3:19" x14ac:dyDescent="0.25">
      <c r="C1041" s="593">
        <v>30</v>
      </c>
      <c r="D1041" s="607" t="s">
        <v>57</v>
      </c>
      <c r="E1041" s="608" t="s">
        <v>22</v>
      </c>
      <c r="F1041" s="609"/>
      <c r="G1041" s="39" t="s">
        <v>17</v>
      </c>
      <c r="H1041" s="33">
        <v>46100</v>
      </c>
      <c r="I1041" s="603"/>
      <c r="J1041" s="598"/>
      <c r="K1041" s="599"/>
      <c r="L1041" s="599"/>
      <c r="M1041" s="600"/>
      <c r="N1041" s="601"/>
      <c r="O1041" s="601"/>
      <c r="P1041" s="602"/>
      <c r="Q1041" s="26"/>
      <c r="R1041" s="26"/>
      <c r="S1041" s="37"/>
    </row>
    <row r="1042" spans="3:19" x14ac:dyDescent="0.25">
      <c r="C1042" s="593">
        <v>30</v>
      </c>
      <c r="D1042" s="607" t="s">
        <v>57</v>
      </c>
      <c r="E1042" s="608" t="s">
        <v>22</v>
      </c>
      <c r="F1042" s="609"/>
      <c r="G1042" s="39" t="s">
        <v>18</v>
      </c>
      <c r="H1042" s="33">
        <v>46101</v>
      </c>
      <c r="I1042" s="603"/>
      <c r="J1042" s="598"/>
      <c r="K1042" s="599"/>
      <c r="L1042" s="599"/>
      <c r="M1042" s="600"/>
      <c r="N1042" s="601"/>
      <c r="O1042" s="601"/>
      <c r="P1042" s="602"/>
      <c r="Q1042" s="26"/>
      <c r="R1042" s="26"/>
      <c r="S1042" s="37"/>
    </row>
    <row r="1043" spans="3:19" x14ac:dyDescent="0.25">
      <c r="C1043" s="593">
        <v>30</v>
      </c>
      <c r="D1043" s="607" t="s">
        <v>57</v>
      </c>
      <c r="E1043" s="608" t="s">
        <v>22</v>
      </c>
      <c r="F1043" s="609"/>
      <c r="G1043" s="39" t="s">
        <v>19</v>
      </c>
      <c r="H1043" s="33">
        <v>46102</v>
      </c>
      <c r="I1043" s="603"/>
      <c r="J1043" s="598"/>
      <c r="K1043" s="599"/>
      <c r="L1043" s="599"/>
      <c r="M1043" s="600"/>
      <c r="N1043" s="601"/>
      <c r="O1043" s="601"/>
      <c r="P1043" s="602"/>
      <c r="Q1043" s="26"/>
      <c r="R1043" s="26"/>
      <c r="S1043" s="37"/>
    </row>
    <row r="1044" spans="3:19" x14ac:dyDescent="0.25">
      <c r="C1044" s="593">
        <v>30</v>
      </c>
      <c r="D1044" s="607" t="s">
        <v>57</v>
      </c>
      <c r="E1044" s="608" t="s">
        <v>22</v>
      </c>
      <c r="F1044" s="609"/>
      <c r="G1044" s="46" t="s">
        <v>13</v>
      </c>
      <c r="H1044" s="33">
        <v>46103</v>
      </c>
      <c r="I1044" s="603"/>
      <c r="J1044" s="598"/>
      <c r="K1044" s="599"/>
      <c r="L1044" s="599"/>
      <c r="M1044" s="600"/>
      <c r="N1044" s="601"/>
      <c r="O1044" s="601"/>
      <c r="P1044" s="602"/>
      <c r="Q1044" s="26"/>
      <c r="R1044" s="26"/>
      <c r="S1044" s="37"/>
    </row>
    <row r="1045" spans="3:19" x14ac:dyDescent="0.25">
      <c r="C1045" s="593">
        <v>30</v>
      </c>
      <c r="D1045" s="607" t="s">
        <v>57</v>
      </c>
      <c r="E1045" s="608" t="s">
        <v>22</v>
      </c>
      <c r="F1045" s="609"/>
      <c r="G1045" s="39" t="s">
        <v>14</v>
      </c>
      <c r="H1045" s="33">
        <v>46104</v>
      </c>
      <c r="I1045" s="603"/>
      <c r="J1045" s="598"/>
      <c r="K1045" s="599"/>
      <c r="L1045" s="599"/>
      <c r="M1045" s="600"/>
      <c r="N1045" s="601"/>
      <c r="O1045" s="601"/>
      <c r="P1045" s="602"/>
      <c r="Q1045" s="26"/>
      <c r="R1045" s="26"/>
      <c r="S1045" s="37"/>
    </row>
    <row r="1046" spans="3:19" x14ac:dyDescent="0.25">
      <c r="C1046" s="593">
        <v>30</v>
      </c>
      <c r="D1046" s="607" t="s">
        <v>57</v>
      </c>
      <c r="E1046" s="608"/>
      <c r="F1046" s="609"/>
      <c r="G1046" s="39" t="s">
        <v>15</v>
      </c>
      <c r="H1046" s="33">
        <v>46105</v>
      </c>
      <c r="I1046" s="603"/>
      <c r="J1046" s="598"/>
      <c r="K1046" s="599"/>
      <c r="L1046" s="599"/>
      <c r="M1046" s="600"/>
      <c r="N1046" s="601"/>
      <c r="O1046" s="601"/>
      <c r="P1046" s="602"/>
      <c r="Q1046" s="26"/>
      <c r="R1046" s="26"/>
      <c r="S1046" s="37"/>
    </row>
    <row r="1047" spans="3:19" x14ac:dyDescent="0.25">
      <c r="C1047" s="593">
        <v>30</v>
      </c>
      <c r="D1047" s="607" t="s">
        <v>57</v>
      </c>
      <c r="E1047" s="608"/>
      <c r="F1047" s="609"/>
      <c r="G1047" s="39" t="s">
        <v>16</v>
      </c>
      <c r="H1047" s="33">
        <v>46106</v>
      </c>
      <c r="I1047" s="603"/>
      <c r="J1047" s="598"/>
      <c r="K1047" s="599"/>
      <c r="L1047" s="599"/>
      <c r="M1047" s="600"/>
      <c r="N1047" s="601"/>
      <c r="O1047" s="601"/>
      <c r="P1047" s="602"/>
      <c r="Q1047" s="26"/>
      <c r="R1047" s="26"/>
      <c r="S1047" s="37"/>
    </row>
    <row r="1048" spans="3:19" x14ac:dyDescent="0.25">
      <c r="C1048" s="593">
        <v>30</v>
      </c>
      <c r="D1048" s="607" t="s">
        <v>57</v>
      </c>
      <c r="E1048" s="608"/>
      <c r="F1048" s="609"/>
      <c r="G1048" s="39" t="s">
        <v>17</v>
      </c>
      <c r="H1048" s="33">
        <v>46107</v>
      </c>
      <c r="I1048" s="603"/>
      <c r="J1048" s="598"/>
      <c r="K1048" s="599"/>
      <c r="L1048" s="599"/>
      <c r="M1048" s="600"/>
      <c r="N1048" s="601"/>
      <c r="O1048" s="601"/>
      <c r="P1048" s="602"/>
      <c r="Q1048" s="26"/>
      <c r="R1048" s="26"/>
      <c r="S1048" s="37"/>
    </row>
    <row r="1049" spans="3:19" x14ac:dyDescent="0.25">
      <c r="C1049" s="593">
        <v>30</v>
      </c>
      <c r="D1049" s="607" t="s">
        <v>57</v>
      </c>
      <c r="E1049" s="608"/>
      <c r="F1049" s="609"/>
      <c r="G1049" s="39" t="s">
        <v>18</v>
      </c>
      <c r="H1049" s="33">
        <v>46108</v>
      </c>
      <c r="I1049" s="603"/>
      <c r="J1049" s="598"/>
      <c r="K1049" s="599"/>
      <c r="L1049" s="599"/>
      <c r="M1049" s="600"/>
      <c r="N1049" s="601"/>
      <c r="O1049" s="601"/>
      <c r="P1049" s="602"/>
      <c r="Q1049" s="26"/>
      <c r="R1049" s="26"/>
      <c r="S1049" s="37"/>
    </row>
    <row r="1050" spans="3:19" x14ac:dyDescent="0.25">
      <c r="C1050" s="593">
        <v>30</v>
      </c>
      <c r="D1050" s="607" t="s">
        <v>57</v>
      </c>
      <c r="E1050" s="608"/>
      <c r="F1050" s="609"/>
      <c r="G1050" s="39" t="s">
        <v>19</v>
      </c>
      <c r="H1050" s="33">
        <v>46109</v>
      </c>
      <c r="I1050" s="603"/>
      <c r="J1050" s="598"/>
      <c r="K1050" s="599"/>
      <c r="L1050" s="599"/>
      <c r="M1050" s="600"/>
      <c r="N1050" s="601"/>
      <c r="O1050" s="601"/>
      <c r="P1050" s="602"/>
      <c r="Q1050" s="26"/>
      <c r="R1050" s="26"/>
      <c r="S1050" s="37"/>
    </row>
    <row r="1051" spans="3:19" x14ac:dyDescent="0.25">
      <c r="C1051" s="593">
        <v>30</v>
      </c>
      <c r="D1051" s="607" t="s">
        <v>57</v>
      </c>
      <c r="E1051" s="608"/>
      <c r="F1051" s="609"/>
      <c r="G1051" s="46" t="s">
        <v>13</v>
      </c>
      <c r="H1051" s="33">
        <v>46110</v>
      </c>
      <c r="I1051" s="603"/>
      <c r="J1051" s="598"/>
      <c r="K1051" s="599"/>
      <c r="L1051" s="599"/>
      <c r="M1051" s="600"/>
      <c r="N1051" s="601"/>
      <c r="O1051" s="601"/>
      <c r="P1051" s="602"/>
      <c r="Q1051" s="26"/>
      <c r="R1051" s="26"/>
      <c r="S1051" s="37"/>
    </row>
    <row r="1052" spans="3:19" x14ac:dyDescent="0.25">
      <c r="C1052" s="593">
        <v>30</v>
      </c>
      <c r="D1052" s="607" t="s">
        <v>57</v>
      </c>
      <c r="E1052" s="608"/>
      <c r="F1052" s="609"/>
      <c r="G1052" s="39" t="s">
        <v>14</v>
      </c>
      <c r="H1052" s="33">
        <v>46111</v>
      </c>
      <c r="I1052" s="603"/>
      <c r="J1052" s="598"/>
      <c r="K1052" s="599"/>
      <c r="L1052" s="599"/>
      <c r="M1052" s="600"/>
      <c r="N1052" s="601"/>
      <c r="O1052" s="601"/>
      <c r="P1052" s="602"/>
      <c r="Q1052" s="26"/>
      <c r="R1052" s="26"/>
      <c r="S1052" s="37"/>
    </row>
    <row r="1053" spans="3:19" x14ac:dyDescent="0.25">
      <c r="C1053" s="593">
        <v>30</v>
      </c>
      <c r="D1053" s="607" t="s">
        <v>57</v>
      </c>
      <c r="E1053" s="608"/>
      <c r="F1053" s="609"/>
      <c r="G1053" s="39" t="s">
        <v>15</v>
      </c>
      <c r="H1053" s="33">
        <v>46112</v>
      </c>
      <c r="I1053" s="603"/>
      <c r="J1053" s="598"/>
      <c r="K1053" s="599"/>
      <c r="L1053" s="599"/>
      <c r="M1053" s="600"/>
      <c r="N1053" s="601"/>
      <c r="O1053" s="601"/>
      <c r="P1053" s="602"/>
      <c r="Q1053" s="26"/>
      <c r="R1053" s="26"/>
      <c r="S1053" s="37"/>
    </row>
    <row r="1054" spans="3:19" x14ac:dyDescent="0.25">
      <c r="C1054" s="610"/>
      <c r="D1054" s="611"/>
      <c r="E1054" s="612"/>
      <c r="F1054" s="612"/>
      <c r="G1054" s="612"/>
      <c r="H1054" s="612"/>
      <c r="I1054" s="613" t="str">
        <f>D1026</f>
        <v>ZAINAL KABIB</v>
      </c>
      <c r="J1054" s="614" t="s">
        <v>20</v>
      </c>
      <c r="K1054" s="615"/>
      <c r="L1054" s="615"/>
      <c r="M1054" s="616">
        <f>SUM(M1023:M1053)</f>
        <v>8</v>
      </c>
      <c r="N1054" s="616">
        <f t="shared" ref="N1054:O1054" si="24">SUM(N1023:N1053)</f>
        <v>0</v>
      </c>
      <c r="O1054" s="616">
        <f t="shared" si="24"/>
        <v>2</v>
      </c>
      <c r="P1054" s="617"/>
      <c r="Q1054" s="26"/>
      <c r="R1054" s="26"/>
      <c r="S1054" s="37"/>
    </row>
    <row r="1055" spans="3:19" x14ac:dyDescent="0.2">
      <c r="C1055" s="58"/>
      <c r="D1055" s="59"/>
      <c r="E1055" s="60"/>
      <c r="F1055" s="60"/>
      <c r="G1055" s="61"/>
      <c r="H1055" s="62"/>
      <c r="I1055" s="63"/>
      <c r="J1055" s="63"/>
      <c r="K1055" s="62"/>
      <c r="L1055" s="62"/>
      <c r="M1055" s="62"/>
      <c r="N1055" s="64"/>
      <c r="O1055" s="64"/>
      <c r="P1055" s="65"/>
      <c r="Q1055" s="26"/>
      <c r="R1055" s="26"/>
      <c r="S1055" s="37"/>
    </row>
    <row r="1056" spans="3:19" x14ac:dyDescent="0.2">
      <c r="C1056" s="365" t="s">
        <v>1</v>
      </c>
      <c r="D1056" s="67" t="s">
        <v>2</v>
      </c>
      <c r="E1056" s="68" t="s">
        <v>3</v>
      </c>
      <c r="F1056" s="68" t="s">
        <v>4</v>
      </c>
      <c r="G1056" s="69" t="s">
        <v>5</v>
      </c>
      <c r="H1056" s="68" t="s">
        <v>6</v>
      </c>
      <c r="I1056" s="70" t="s">
        <v>7</v>
      </c>
      <c r="J1056" s="70" t="s">
        <v>60</v>
      </c>
      <c r="K1056" s="71"/>
      <c r="L1056" s="72"/>
      <c r="M1056" s="72" t="s">
        <v>9</v>
      </c>
      <c r="N1056" s="73" t="s">
        <v>10</v>
      </c>
      <c r="O1056" s="73" t="s">
        <v>11</v>
      </c>
      <c r="P1056" s="198"/>
      <c r="Q1056" s="26"/>
      <c r="R1056" s="26"/>
      <c r="S1056" s="37"/>
    </row>
    <row r="1057" spans="3:28" x14ac:dyDescent="0.25">
      <c r="C1057" s="618">
        <v>31</v>
      </c>
      <c r="D1057" s="619" t="s">
        <v>61</v>
      </c>
      <c r="E1057" s="620" t="s">
        <v>22</v>
      </c>
      <c r="F1057" s="621" t="s">
        <v>22</v>
      </c>
      <c r="G1057" s="32" t="s">
        <v>13</v>
      </c>
      <c r="H1057" s="33">
        <v>46082</v>
      </c>
      <c r="I1057" s="597"/>
      <c r="J1057" s="598"/>
      <c r="K1057" s="599"/>
      <c r="L1057" s="599"/>
      <c r="M1057" s="600"/>
      <c r="N1057" s="601"/>
      <c r="O1057" s="601"/>
      <c r="P1057" s="602"/>
      <c r="Q1057" s="26"/>
      <c r="R1057" s="26"/>
      <c r="S1057" s="37"/>
    </row>
    <row r="1058" spans="3:28" x14ac:dyDescent="0.25">
      <c r="C1058" s="618">
        <v>31</v>
      </c>
      <c r="D1058" s="619" t="s">
        <v>61</v>
      </c>
      <c r="E1058" s="620" t="s">
        <v>22</v>
      </c>
      <c r="F1058" s="621" t="s">
        <v>22</v>
      </c>
      <c r="G1058" s="29" t="s">
        <v>14</v>
      </c>
      <c r="H1058" s="33">
        <v>46083</v>
      </c>
      <c r="I1058" s="603">
        <v>0.31923611111111111</v>
      </c>
      <c r="J1058" s="598"/>
      <c r="K1058" s="599"/>
      <c r="L1058" s="599"/>
      <c r="M1058" s="600"/>
      <c r="N1058" s="601"/>
      <c r="O1058" s="601"/>
      <c r="P1058" s="602"/>
      <c r="Q1058" s="26"/>
      <c r="R1058" s="26"/>
      <c r="S1058" s="37"/>
    </row>
    <row r="1059" spans="3:28" x14ac:dyDescent="0.25">
      <c r="C1059" s="618">
        <v>31</v>
      </c>
      <c r="D1059" s="619" t="s">
        <v>61</v>
      </c>
      <c r="E1059" s="620" t="s">
        <v>22</v>
      </c>
      <c r="F1059" s="621" t="s">
        <v>22</v>
      </c>
      <c r="G1059" s="39" t="s">
        <v>15</v>
      </c>
      <c r="H1059" s="33">
        <v>46084</v>
      </c>
      <c r="I1059" s="604">
        <v>0.31635416666666666</v>
      </c>
      <c r="J1059" s="598">
        <v>0.70891203703703709</v>
      </c>
      <c r="K1059" s="599"/>
      <c r="L1059" s="599"/>
      <c r="M1059" s="600"/>
      <c r="N1059" s="601"/>
      <c r="O1059" s="601"/>
      <c r="P1059" s="602"/>
      <c r="Q1059" s="26"/>
      <c r="R1059" s="26"/>
      <c r="S1059" s="37"/>
    </row>
    <row r="1060" spans="3:28" x14ac:dyDescent="0.25">
      <c r="C1060" s="618">
        <v>31</v>
      </c>
      <c r="D1060" s="619" t="s">
        <v>61</v>
      </c>
      <c r="E1060" s="620" t="s">
        <v>22</v>
      </c>
      <c r="F1060" s="621" t="s">
        <v>22</v>
      </c>
      <c r="G1060" s="39" t="s">
        <v>16</v>
      </c>
      <c r="H1060" s="33">
        <v>46085</v>
      </c>
      <c r="I1060" s="604">
        <v>0.315462962962963</v>
      </c>
      <c r="J1060" s="598">
        <v>0.71032407407407405</v>
      </c>
      <c r="K1060" s="599"/>
      <c r="L1060" s="599"/>
      <c r="M1060" s="600"/>
      <c r="N1060" s="601"/>
      <c r="O1060" s="601"/>
      <c r="P1060" s="602"/>
      <c r="Q1060" s="26"/>
      <c r="R1060" s="26"/>
      <c r="S1060" s="37"/>
    </row>
    <row r="1061" spans="3:28" x14ac:dyDescent="0.25">
      <c r="C1061" s="618">
        <v>31</v>
      </c>
      <c r="D1061" s="619" t="s">
        <v>61</v>
      </c>
      <c r="E1061" s="620" t="s">
        <v>22</v>
      </c>
      <c r="F1061" s="621" t="s">
        <v>22</v>
      </c>
      <c r="G1061" s="39" t="s">
        <v>17</v>
      </c>
      <c r="H1061" s="33">
        <v>46086</v>
      </c>
      <c r="I1061" s="604">
        <v>0.31979166666666664</v>
      </c>
      <c r="J1061" s="598">
        <v>0.70862268518518512</v>
      </c>
      <c r="K1061" s="599"/>
      <c r="L1061" s="599"/>
      <c r="M1061" s="600"/>
      <c r="N1061" s="601"/>
      <c r="O1061" s="601"/>
      <c r="P1061" s="602"/>
      <c r="Q1061" s="26"/>
      <c r="R1061" s="26"/>
      <c r="S1061" s="37"/>
    </row>
    <row r="1062" spans="3:28" x14ac:dyDescent="0.25">
      <c r="C1062" s="618">
        <v>31</v>
      </c>
      <c r="D1062" s="619" t="s">
        <v>61</v>
      </c>
      <c r="E1062" s="620" t="s">
        <v>22</v>
      </c>
      <c r="F1062" s="621" t="s">
        <v>22</v>
      </c>
      <c r="G1062" s="45" t="s">
        <v>18</v>
      </c>
      <c r="H1062" s="33">
        <v>46087</v>
      </c>
      <c r="I1062" s="604">
        <v>0.31645833333333334</v>
      </c>
      <c r="J1062" s="598">
        <v>0.70864583333333331</v>
      </c>
      <c r="K1062" s="599"/>
      <c r="L1062" s="599"/>
      <c r="M1062" s="600"/>
      <c r="N1062" s="601"/>
      <c r="O1062" s="601"/>
      <c r="P1062" s="602"/>
      <c r="Q1062" s="26"/>
      <c r="R1062" s="26"/>
      <c r="S1062" s="37"/>
    </row>
    <row r="1063" spans="3:28" x14ac:dyDescent="0.25">
      <c r="C1063" s="618">
        <v>31</v>
      </c>
      <c r="D1063" s="619" t="s">
        <v>61</v>
      </c>
      <c r="E1063" s="620" t="s">
        <v>22</v>
      </c>
      <c r="F1063" s="621" t="s">
        <v>22</v>
      </c>
      <c r="G1063" s="39" t="s">
        <v>19</v>
      </c>
      <c r="H1063" s="33">
        <v>46088</v>
      </c>
      <c r="I1063" s="604">
        <v>0.31696759259259261</v>
      </c>
      <c r="J1063" s="598">
        <v>0.54434027777777783</v>
      </c>
      <c r="K1063" s="599"/>
      <c r="L1063" s="599"/>
      <c r="M1063" s="600"/>
      <c r="N1063" s="601"/>
      <c r="O1063" s="601"/>
      <c r="P1063" s="602"/>
      <c r="Q1063" s="26"/>
      <c r="R1063" s="26"/>
      <c r="S1063" s="37"/>
    </row>
    <row r="1064" spans="3:28" x14ac:dyDescent="0.25">
      <c r="C1064" s="618">
        <v>31</v>
      </c>
      <c r="D1064" s="619" t="s">
        <v>61</v>
      </c>
      <c r="E1064" s="620" t="s">
        <v>22</v>
      </c>
      <c r="F1064" s="621" t="s">
        <v>22</v>
      </c>
      <c r="G1064" s="46" t="s">
        <v>13</v>
      </c>
      <c r="H1064" s="33">
        <v>46089</v>
      </c>
      <c r="I1064" s="597"/>
      <c r="K1064" s="599"/>
      <c r="L1064" s="599"/>
      <c r="M1064" s="600"/>
      <c r="N1064" s="601"/>
      <c r="O1064" s="601"/>
      <c r="P1064" s="602"/>
      <c r="Q1064" s="26"/>
      <c r="R1064" s="26"/>
      <c r="S1064" s="37"/>
    </row>
    <row r="1065" spans="3:28" x14ac:dyDescent="0.25">
      <c r="C1065" s="618">
        <v>31</v>
      </c>
      <c r="D1065" s="619" t="s">
        <v>61</v>
      </c>
      <c r="E1065" s="620" t="s">
        <v>22</v>
      </c>
      <c r="F1065" s="621" t="s">
        <v>22</v>
      </c>
      <c r="G1065" s="39" t="s">
        <v>14</v>
      </c>
      <c r="H1065" s="33">
        <v>46090</v>
      </c>
      <c r="J1065" s="604"/>
      <c r="K1065" s="599"/>
      <c r="L1065" s="599"/>
      <c r="M1065" s="600"/>
      <c r="N1065" s="601"/>
      <c r="O1065" s="601"/>
      <c r="P1065" s="602" t="s">
        <v>41</v>
      </c>
      <c r="Q1065" s="26"/>
      <c r="R1065" s="26"/>
      <c r="S1065" s="37"/>
      <c r="AB1065">
        <v>0</v>
      </c>
    </row>
    <row r="1066" spans="3:28" x14ac:dyDescent="0.25">
      <c r="C1066" s="618">
        <v>31</v>
      </c>
      <c r="D1066" s="619" t="s">
        <v>61</v>
      </c>
      <c r="E1066" s="620" t="s">
        <v>22</v>
      </c>
      <c r="F1066" s="621" t="s">
        <v>22</v>
      </c>
      <c r="G1066" s="39" t="s">
        <v>15</v>
      </c>
      <c r="H1066" s="33">
        <v>46091</v>
      </c>
      <c r="I1066" s="603">
        <v>0.31877314814814817</v>
      </c>
      <c r="J1066" s="598">
        <v>0.70868055555555554</v>
      </c>
      <c r="K1066" s="599"/>
      <c r="L1066" s="599"/>
      <c r="M1066" s="600"/>
      <c r="N1066" s="601"/>
      <c r="O1066" s="601"/>
      <c r="P1066" s="602"/>
      <c r="Q1066" s="26"/>
      <c r="R1066" s="26"/>
      <c r="S1066" s="37"/>
    </row>
    <row r="1067" spans="3:28" x14ac:dyDescent="0.25">
      <c r="C1067" s="618">
        <v>31</v>
      </c>
      <c r="D1067" s="619" t="s">
        <v>61</v>
      </c>
      <c r="E1067" s="620" t="s">
        <v>22</v>
      </c>
      <c r="F1067" s="621" t="s">
        <v>22</v>
      </c>
      <c r="G1067" s="39" t="s">
        <v>16</v>
      </c>
      <c r="H1067" s="33">
        <v>46092</v>
      </c>
      <c r="I1067" s="603">
        <v>0.31664351851851852</v>
      </c>
      <c r="J1067" s="598">
        <v>0.7091319444444445</v>
      </c>
      <c r="K1067" s="599"/>
      <c r="L1067" s="599"/>
      <c r="M1067" s="600"/>
      <c r="N1067" s="601"/>
      <c r="O1067" s="601"/>
      <c r="P1067" s="602"/>
      <c r="Q1067" s="26"/>
      <c r="R1067" s="26"/>
      <c r="S1067" s="37"/>
    </row>
    <row r="1068" spans="3:28" x14ac:dyDescent="0.25">
      <c r="C1068" s="618">
        <v>31</v>
      </c>
      <c r="D1068" s="619" t="s">
        <v>61</v>
      </c>
      <c r="E1068" s="620" t="s">
        <v>22</v>
      </c>
      <c r="F1068" s="621" t="s">
        <v>22</v>
      </c>
      <c r="G1068" s="39" t="s">
        <v>17</v>
      </c>
      <c r="H1068" s="33">
        <v>46093</v>
      </c>
      <c r="I1068" s="603">
        <v>0.31906249999999997</v>
      </c>
      <c r="J1068" s="598">
        <v>0.70915509259259257</v>
      </c>
      <c r="K1068" s="599"/>
      <c r="L1068" s="599"/>
      <c r="M1068" s="600"/>
      <c r="N1068" s="601"/>
      <c r="O1068" s="601"/>
      <c r="P1068" s="602"/>
      <c r="Q1068" s="26"/>
      <c r="R1068" s="26"/>
      <c r="S1068" s="37"/>
    </row>
    <row r="1069" spans="3:28" x14ac:dyDescent="0.25">
      <c r="C1069" s="618">
        <v>31</v>
      </c>
      <c r="D1069" s="619" t="s">
        <v>61</v>
      </c>
      <c r="E1069" s="620" t="s">
        <v>22</v>
      </c>
      <c r="F1069" s="621" t="s">
        <v>22</v>
      </c>
      <c r="G1069" s="48" t="s">
        <v>18</v>
      </c>
      <c r="H1069" s="33">
        <v>46094</v>
      </c>
      <c r="I1069" s="603">
        <v>0.31870370370370371</v>
      </c>
      <c r="J1069" s="598">
        <v>0.70885416666666667</v>
      </c>
      <c r="K1069" s="599"/>
      <c r="L1069" s="599"/>
      <c r="M1069" s="600"/>
      <c r="N1069" s="601"/>
      <c r="O1069" s="601"/>
      <c r="P1069" s="602"/>
      <c r="Q1069" s="26"/>
      <c r="R1069" s="26"/>
      <c r="S1069" s="37"/>
    </row>
    <row r="1070" spans="3:28" x14ac:dyDescent="0.25">
      <c r="C1070" s="618">
        <v>31</v>
      </c>
      <c r="D1070" s="619" t="s">
        <v>61</v>
      </c>
      <c r="E1070" s="620" t="s">
        <v>22</v>
      </c>
      <c r="F1070" s="621" t="s">
        <v>22</v>
      </c>
      <c r="G1070" s="39" t="s">
        <v>19</v>
      </c>
      <c r="H1070" s="33">
        <v>46095</v>
      </c>
      <c r="I1070" s="603">
        <v>0.32818287037037036</v>
      </c>
      <c r="J1070" s="598"/>
      <c r="K1070" s="599"/>
      <c r="L1070" s="599"/>
      <c r="M1070" s="600"/>
      <c r="N1070" s="601"/>
      <c r="O1070" s="601"/>
      <c r="P1070" s="602"/>
      <c r="Q1070" s="26"/>
      <c r="R1070" s="26"/>
      <c r="S1070" s="37"/>
    </row>
    <row r="1071" spans="3:28" x14ac:dyDescent="0.25">
      <c r="C1071" s="618">
        <v>31</v>
      </c>
      <c r="D1071" s="619" t="s">
        <v>61</v>
      </c>
      <c r="E1071" s="620" t="s">
        <v>22</v>
      </c>
      <c r="F1071" s="621" t="s">
        <v>22</v>
      </c>
      <c r="G1071" s="46" t="s">
        <v>13</v>
      </c>
      <c r="H1071" s="33">
        <v>46096</v>
      </c>
      <c r="I1071" s="603"/>
      <c r="J1071" s="598"/>
      <c r="K1071" s="599"/>
      <c r="L1071" s="599"/>
      <c r="M1071" s="600"/>
      <c r="N1071" s="601"/>
      <c r="O1071" s="601"/>
      <c r="P1071" s="44"/>
      <c r="Q1071" s="26"/>
      <c r="R1071" s="26"/>
      <c r="S1071" s="37"/>
    </row>
    <row r="1072" spans="3:28" x14ac:dyDescent="0.25">
      <c r="C1072" s="618">
        <v>31</v>
      </c>
      <c r="D1072" s="619" t="s">
        <v>61</v>
      </c>
      <c r="E1072" s="620" t="s">
        <v>22</v>
      </c>
      <c r="F1072" s="621" t="s">
        <v>22</v>
      </c>
      <c r="G1072" s="39" t="s">
        <v>14</v>
      </c>
      <c r="H1072" s="33">
        <v>46097</v>
      </c>
      <c r="I1072" s="603"/>
      <c r="J1072" s="598"/>
      <c r="K1072" s="599"/>
      <c r="L1072" s="599"/>
      <c r="M1072" s="600"/>
      <c r="N1072" s="601"/>
      <c r="O1072" s="601"/>
      <c r="P1072" s="602"/>
      <c r="Q1072" s="26"/>
      <c r="R1072" s="26"/>
      <c r="S1072" s="37"/>
    </row>
    <row r="1073" spans="3:19" x14ac:dyDescent="0.25">
      <c r="C1073" s="618">
        <v>31</v>
      </c>
      <c r="D1073" s="619" t="s">
        <v>61</v>
      </c>
      <c r="E1073" s="620" t="s">
        <v>22</v>
      </c>
      <c r="F1073" s="621" t="s">
        <v>22</v>
      </c>
      <c r="G1073" s="39" t="s">
        <v>15</v>
      </c>
      <c r="H1073" s="33">
        <v>46098</v>
      </c>
      <c r="I1073" s="603"/>
      <c r="J1073" s="598"/>
      <c r="K1073" s="599"/>
      <c r="L1073" s="599"/>
      <c r="M1073" s="600"/>
      <c r="N1073" s="601"/>
      <c r="O1073" s="601"/>
      <c r="P1073" s="602"/>
      <c r="Q1073" s="26"/>
      <c r="R1073" s="26"/>
      <c r="S1073" s="37"/>
    </row>
    <row r="1074" spans="3:19" x14ac:dyDescent="0.25">
      <c r="C1074" s="618">
        <v>31</v>
      </c>
      <c r="D1074" s="619" t="s">
        <v>61</v>
      </c>
      <c r="E1074" s="620" t="s">
        <v>22</v>
      </c>
      <c r="F1074" s="621" t="s">
        <v>22</v>
      </c>
      <c r="G1074" s="39" t="s">
        <v>16</v>
      </c>
      <c r="H1074" s="33">
        <v>46099</v>
      </c>
      <c r="I1074" s="603"/>
      <c r="J1074" s="598"/>
      <c r="K1074" s="599"/>
      <c r="L1074" s="599"/>
      <c r="M1074" s="600"/>
      <c r="N1074" s="601"/>
      <c r="O1074" s="601"/>
      <c r="P1074" s="602"/>
      <c r="Q1074" s="26"/>
      <c r="R1074" s="26"/>
      <c r="S1074" s="37"/>
    </row>
    <row r="1075" spans="3:19" x14ac:dyDescent="0.25">
      <c r="C1075" s="618">
        <v>31</v>
      </c>
      <c r="D1075" s="619" t="s">
        <v>61</v>
      </c>
      <c r="E1075" s="620" t="s">
        <v>22</v>
      </c>
      <c r="F1075" s="621" t="s">
        <v>22</v>
      </c>
      <c r="G1075" s="39" t="s">
        <v>17</v>
      </c>
      <c r="H1075" s="33">
        <v>46100</v>
      </c>
      <c r="I1075" s="603"/>
      <c r="J1075" s="598"/>
      <c r="K1075" s="599"/>
      <c r="L1075" s="599"/>
      <c r="M1075" s="600"/>
      <c r="N1075" s="601"/>
      <c r="O1075" s="601"/>
      <c r="P1075" s="602"/>
      <c r="Q1075" s="26"/>
      <c r="R1075" s="26"/>
      <c r="S1075" s="37"/>
    </row>
    <row r="1076" spans="3:19" x14ac:dyDescent="0.25">
      <c r="C1076" s="618">
        <v>31</v>
      </c>
      <c r="D1076" s="619" t="s">
        <v>61</v>
      </c>
      <c r="E1076" s="620" t="s">
        <v>22</v>
      </c>
      <c r="F1076" s="621" t="s">
        <v>22</v>
      </c>
      <c r="G1076" s="39" t="s">
        <v>18</v>
      </c>
      <c r="H1076" s="33">
        <v>46101</v>
      </c>
      <c r="I1076" s="603"/>
      <c r="J1076" s="598"/>
      <c r="K1076" s="599"/>
      <c r="L1076" s="599"/>
      <c r="M1076" s="600"/>
      <c r="N1076" s="601"/>
      <c r="O1076" s="601"/>
      <c r="P1076" s="602"/>
      <c r="Q1076" s="26"/>
      <c r="R1076" s="26"/>
      <c r="S1076" s="37"/>
    </row>
    <row r="1077" spans="3:19" x14ac:dyDescent="0.25">
      <c r="C1077" s="618">
        <v>31</v>
      </c>
      <c r="D1077" s="619" t="s">
        <v>61</v>
      </c>
      <c r="E1077" s="620" t="s">
        <v>22</v>
      </c>
      <c r="F1077" s="621" t="s">
        <v>22</v>
      </c>
      <c r="G1077" s="39" t="s">
        <v>19</v>
      </c>
      <c r="H1077" s="33">
        <v>46102</v>
      </c>
      <c r="I1077" s="603"/>
      <c r="J1077" s="598"/>
      <c r="K1077" s="599"/>
      <c r="L1077" s="599"/>
      <c r="M1077" s="600"/>
      <c r="N1077" s="601"/>
      <c r="O1077" s="601"/>
      <c r="P1077" s="602"/>
      <c r="Q1077" s="26"/>
      <c r="R1077" s="26"/>
      <c r="S1077" s="37"/>
    </row>
    <row r="1078" spans="3:19" x14ac:dyDescent="0.25">
      <c r="C1078" s="618">
        <v>31</v>
      </c>
      <c r="D1078" s="619" t="s">
        <v>61</v>
      </c>
      <c r="E1078" s="620" t="s">
        <v>22</v>
      </c>
      <c r="F1078" s="621" t="s">
        <v>22</v>
      </c>
      <c r="G1078" s="46" t="s">
        <v>13</v>
      </c>
      <c r="H1078" s="33">
        <v>46103</v>
      </c>
      <c r="I1078" s="603"/>
      <c r="J1078" s="598"/>
      <c r="K1078" s="599"/>
      <c r="L1078" s="599"/>
      <c r="M1078" s="600"/>
      <c r="N1078" s="601"/>
      <c r="O1078" s="601"/>
      <c r="P1078" s="602"/>
      <c r="Q1078" s="26"/>
      <c r="R1078" s="26"/>
      <c r="S1078" s="37"/>
    </row>
    <row r="1079" spans="3:19" x14ac:dyDescent="0.25">
      <c r="C1079" s="618">
        <v>31</v>
      </c>
      <c r="D1079" s="619" t="s">
        <v>61</v>
      </c>
      <c r="E1079" s="620" t="s">
        <v>22</v>
      </c>
      <c r="F1079" s="621" t="s">
        <v>22</v>
      </c>
      <c r="G1079" s="39" t="s">
        <v>14</v>
      </c>
      <c r="H1079" s="33">
        <v>46104</v>
      </c>
      <c r="I1079" s="603"/>
      <c r="J1079" s="598"/>
      <c r="K1079" s="599"/>
      <c r="L1079" s="599"/>
      <c r="M1079" s="600"/>
      <c r="N1079" s="601"/>
      <c r="O1079" s="601"/>
      <c r="P1079" s="602"/>
      <c r="Q1079" s="26"/>
      <c r="R1079" s="26"/>
      <c r="S1079" s="37"/>
    </row>
    <row r="1080" spans="3:19" x14ac:dyDescent="0.25">
      <c r="C1080" s="618">
        <v>31</v>
      </c>
      <c r="D1080" s="619" t="s">
        <v>61</v>
      </c>
      <c r="E1080" s="620" t="s">
        <v>22</v>
      </c>
      <c r="F1080" s="621" t="s">
        <v>22</v>
      </c>
      <c r="G1080" s="39" t="s">
        <v>15</v>
      </c>
      <c r="H1080" s="33">
        <v>46105</v>
      </c>
      <c r="I1080" s="603"/>
      <c r="J1080" s="598"/>
      <c r="K1080" s="599"/>
      <c r="L1080" s="599"/>
      <c r="M1080" s="600"/>
      <c r="N1080" s="601"/>
      <c r="O1080" s="601"/>
      <c r="P1080" s="602"/>
      <c r="Q1080" s="26"/>
      <c r="R1080" s="26"/>
      <c r="S1080" s="37"/>
    </row>
    <row r="1081" spans="3:19" x14ac:dyDescent="0.25">
      <c r="C1081" s="618">
        <v>31</v>
      </c>
      <c r="D1081" s="619" t="s">
        <v>61</v>
      </c>
      <c r="E1081" s="620"/>
      <c r="F1081" s="621"/>
      <c r="G1081" s="39" t="s">
        <v>16</v>
      </c>
      <c r="H1081" s="33">
        <v>46106</v>
      </c>
      <c r="I1081" s="603"/>
      <c r="J1081" s="598"/>
      <c r="K1081" s="599"/>
      <c r="L1081" s="599"/>
      <c r="M1081" s="600"/>
      <c r="N1081" s="601"/>
      <c r="O1081" s="601"/>
      <c r="P1081" s="602"/>
      <c r="Q1081" s="26"/>
      <c r="R1081" s="26"/>
      <c r="S1081" s="37"/>
    </row>
    <row r="1082" spans="3:19" x14ac:dyDescent="0.25">
      <c r="C1082" s="618">
        <v>31</v>
      </c>
      <c r="D1082" s="619" t="s">
        <v>61</v>
      </c>
      <c r="E1082" s="620"/>
      <c r="F1082" s="621"/>
      <c r="G1082" s="39" t="s">
        <v>17</v>
      </c>
      <c r="H1082" s="33">
        <v>46107</v>
      </c>
      <c r="I1082" s="603"/>
      <c r="J1082" s="598"/>
      <c r="K1082" s="599"/>
      <c r="L1082" s="599"/>
      <c r="M1082" s="600"/>
      <c r="N1082" s="601"/>
      <c r="O1082" s="601"/>
      <c r="P1082" s="602"/>
      <c r="Q1082" s="26"/>
      <c r="R1082" s="26"/>
      <c r="S1082" s="37"/>
    </row>
    <row r="1083" spans="3:19" x14ac:dyDescent="0.25">
      <c r="C1083" s="618">
        <v>31</v>
      </c>
      <c r="D1083" s="619" t="s">
        <v>61</v>
      </c>
      <c r="E1083" s="620"/>
      <c r="F1083" s="621"/>
      <c r="G1083" s="39" t="s">
        <v>18</v>
      </c>
      <c r="H1083" s="33">
        <v>46108</v>
      </c>
      <c r="I1083" s="603"/>
      <c r="J1083" s="598"/>
      <c r="K1083" s="599"/>
      <c r="L1083" s="599"/>
      <c r="M1083" s="600"/>
      <c r="N1083" s="601"/>
      <c r="O1083" s="601"/>
      <c r="P1083" s="602"/>
      <c r="Q1083" s="26"/>
      <c r="R1083" s="26"/>
      <c r="S1083" s="37"/>
    </row>
    <row r="1084" spans="3:19" x14ac:dyDescent="0.25">
      <c r="C1084" s="618">
        <v>31</v>
      </c>
      <c r="D1084" s="619" t="s">
        <v>61</v>
      </c>
      <c r="E1084" s="620"/>
      <c r="F1084" s="621"/>
      <c r="G1084" s="39" t="s">
        <v>19</v>
      </c>
      <c r="H1084" s="33">
        <v>46109</v>
      </c>
      <c r="I1084" s="603"/>
      <c r="J1084" s="598"/>
      <c r="K1084" s="599"/>
      <c r="L1084" s="599"/>
      <c r="M1084" s="600"/>
      <c r="N1084" s="601"/>
      <c r="O1084" s="601"/>
      <c r="P1084" s="602"/>
      <c r="Q1084" s="26"/>
      <c r="R1084" s="26"/>
      <c r="S1084" s="37"/>
    </row>
    <row r="1085" spans="3:19" x14ac:dyDescent="0.25">
      <c r="C1085" s="618">
        <v>31</v>
      </c>
      <c r="D1085" s="619" t="s">
        <v>61</v>
      </c>
      <c r="E1085" s="620"/>
      <c r="F1085" s="621"/>
      <c r="G1085" s="46" t="s">
        <v>13</v>
      </c>
      <c r="H1085" s="33">
        <v>46110</v>
      </c>
      <c r="I1085" s="603"/>
      <c r="J1085" s="598"/>
      <c r="K1085" s="599"/>
      <c r="L1085" s="599"/>
      <c r="M1085" s="600"/>
      <c r="N1085" s="601"/>
      <c r="O1085" s="601"/>
      <c r="P1085" s="602"/>
      <c r="Q1085" s="26"/>
      <c r="R1085" s="26"/>
      <c r="S1085" s="37"/>
    </row>
    <row r="1086" spans="3:19" x14ac:dyDescent="0.25">
      <c r="C1086" s="618">
        <v>31</v>
      </c>
      <c r="D1086" s="619" t="s">
        <v>61</v>
      </c>
      <c r="E1086" s="620"/>
      <c r="F1086" s="621"/>
      <c r="G1086" s="39" t="s">
        <v>14</v>
      </c>
      <c r="H1086" s="33">
        <v>46111</v>
      </c>
      <c r="I1086" s="603"/>
      <c r="J1086" s="598"/>
      <c r="K1086" s="599"/>
      <c r="L1086" s="599"/>
      <c r="M1086" s="600"/>
      <c r="N1086" s="601"/>
      <c r="O1086" s="601"/>
      <c r="P1086" s="602"/>
      <c r="Q1086" s="26"/>
      <c r="R1086" s="26"/>
      <c r="S1086" s="37"/>
    </row>
    <row r="1087" spans="3:19" x14ac:dyDescent="0.25">
      <c r="C1087" s="618">
        <v>31</v>
      </c>
      <c r="D1087" s="619" t="s">
        <v>61</v>
      </c>
      <c r="E1087" s="620"/>
      <c r="F1087" s="621"/>
      <c r="G1087" s="39" t="s">
        <v>15</v>
      </c>
      <c r="H1087" s="33">
        <v>46112</v>
      </c>
      <c r="I1087" s="603"/>
      <c r="J1087" s="598"/>
      <c r="K1087" s="599"/>
      <c r="L1087" s="599"/>
      <c r="M1087" s="600"/>
      <c r="N1087" s="601"/>
      <c r="O1087" s="601"/>
      <c r="P1087" s="602"/>
      <c r="Q1087" s="26"/>
      <c r="R1087" s="26"/>
      <c r="S1087" s="37"/>
    </row>
    <row r="1088" spans="3:19" x14ac:dyDescent="0.25">
      <c r="C1088" s="610"/>
      <c r="D1088" s="611"/>
      <c r="E1088" s="612"/>
      <c r="F1088" s="612"/>
      <c r="G1088" s="622"/>
      <c r="H1088" s="623"/>
      <c r="I1088" s="613" t="str">
        <f>D1060</f>
        <v>JULI</v>
      </c>
      <c r="J1088" s="614" t="s">
        <v>20</v>
      </c>
      <c r="K1088" s="615"/>
      <c r="L1088" s="615"/>
      <c r="M1088" s="616">
        <f>SUM(M1057:M1087)</f>
        <v>0</v>
      </c>
      <c r="N1088" s="616">
        <f t="shared" ref="N1088:O1088" si="25">SUM(N1057:N1087)</f>
        <v>0</v>
      </c>
      <c r="O1088" s="616">
        <f t="shared" si="25"/>
        <v>0</v>
      </c>
      <c r="P1088" s="624"/>
      <c r="Q1088" s="26"/>
      <c r="R1088" s="26"/>
      <c r="S1088" s="37"/>
    </row>
    <row r="1089" spans="3:19" x14ac:dyDescent="0.2">
      <c r="C1089" s="625"/>
      <c r="D1089" s="626"/>
      <c r="E1089" s="627"/>
      <c r="F1089" s="627"/>
      <c r="G1089" s="628"/>
      <c r="H1089" s="629"/>
      <c r="I1089" s="630"/>
      <c r="J1089" s="630" t="s">
        <v>62</v>
      </c>
      <c r="K1089" s="629"/>
      <c r="L1089" s="629"/>
      <c r="M1089" s="629"/>
      <c r="N1089" s="631"/>
      <c r="O1089" s="631"/>
      <c r="P1089" s="632"/>
      <c r="Q1089" s="26"/>
      <c r="R1089" s="26"/>
      <c r="S1089" s="37"/>
    </row>
    <row r="1090" spans="3:19" x14ac:dyDescent="0.2">
      <c r="C1090" s="365" t="s">
        <v>1</v>
      </c>
      <c r="D1090" s="67" t="s">
        <v>2</v>
      </c>
      <c r="E1090" s="68" t="s">
        <v>3</v>
      </c>
      <c r="F1090" s="68" t="s">
        <v>4</v>
      </c>
      <c r="G1090" s="69" t="s">
        <v>5</v>
      </c>
      <c r="H1090" s="68" t="s">
        <v>6</v>
      </c>
      <c r="I1090" s="70">
        <v>0.30663194444444447</v>
      </c>
      <c r="J1090" s="70" t="s">
        <v>63</v>
      </c>
      <c r="K1090" s="71"/>
      <c r="L1090" s="72"/>
      <c r="M1090" s="72" t="s">
        <v>9</v>
      </c>
      <c r="N1090" s="73" t="s">
        <v>10</v>
      </c>
      <c r="O1090" s="73" t="s">
        <v>11</v>
      </c>
      <c r="P1090" s="198"/>
      <c r="Q1090" s="26"/>
      <c r="R1090" s="26"/>
      <c r="S1090" s="37"/>
    </row>
    <row r="1091" spans="3:19" x14ac:dyDescent="0.25">
      <c r="C1091" s="633">
        <v>32</v>
      </c>
      <c r="D1091" s="633">
        <v>32</v>
      </c>
      <c r="E1091" s="633">
        <v>32</v>
      </c>
      <c r="F1091" s="633">
        <v>32</v>
      </c>
      <c r="G1091" s="32" t="s">
        <v>13</v>
      </c>
      <c r="H1091" s="33">
        <v>46082</v>
      </c>
      <c r="I1091" s="634">
        <v>0.32908564814814817</v>
      </c>
      <c r="J1091" s="635" t="s">
        <v>64</v>
      </c>
      <c r="K1091" s="636"/>
      <c r="L1091" s="636"/>
      <c r="M1091" s="637"/>
      <c r="N1091" s="638"/>
      <c r="O1091" s="638">
        <v>1</v>
      </c>
      <c r="P1091" s="639"/>
      <c r="Q1091" s="26"/>
      <c r="R1091" s="26"/>
      <c r="S1091" s="37"/>
    </row>
    <row r="1092" spans="3:19" x14ac:dyDescent="0.25">
      <c r="C1092" s="633">
        <v>32</v>
      </c>
      <c r="D1092" s="640" t="s">
        <v>65</v>
      </c>
      <c r="E1092" s="641" t="s">
        <v>22</v>
      </c>
      <c r="F1092" s="642" t="s">
        <v>22</v>
      </c>
      <c r="G1092" s="29" t="s">
        <v>14</v>
      </c>
      <c r="H1092" s="33">
        <v>46083</v>
      </c>
      <c r="I1092" s="634">
        <v>0.33280092592592592</v>
      </c>
      <c r="J1092" s="635"/>
      <c r="K1092" s="636"/>
      <c r="L1092" s="636"/>
      <c r="M1092" s="637"/>
      <c r="N1092" s="638"/>
      <c r="O1092" s="638"/>
      <c r="P1092" s="639"/>
      <c r="Q1092" s="26"/>
      <c r="R1092" s="26"/>
      <c r="S1092" s="37"/>
    </row>
    <row r="1093" spans="3:19" x14ac:dyDescent="0.25">
      <c r="C1093" s="633">
        <v>32</v>
      </c>
      <c r="D1093" s="640" t="s">
        <v>65</v>
      </c>
      <c r="E1093" s="641" t="s">
        <v>22</v>
      </c>
      <c r="F1093" s="642" t="s">
        <v>22</v>
      </c>
      <c r="G1093" s="39" t="s">
        <v>15</v>
      </c>
      <c r="H1093" s="33">
        <v>46084</v>
      </c>
      <c r="I1093" s="643">
        <v>0.34034722222222219</v>
      </c>
      <c r="J1093" s="635">
        <v>0.80304398148148148</v>
      </c>
      <c r="K1093" s="636"/>
      <c r="L1093" s="636"/>
      <c r="M1093" s="637">
        <v>2</v>
      </c>
      <c r="N1093" s="638"/>
      <c r="O1093" s="638"/>
      <c r="P1093" s="639"/>
      <c r="Q1093" s="26"/>
      <c r="R1093" s="26"/>
      <c r="S1093" s="37"/>
    </row>
    <row r="1094" spans="3:19" x14ac:dyDescent="0.25">
      <c r="C1094" s="633">
        <v>32</v>
      </c>
      <c r="D1094" s="640" t="s">
        <v>65</v>
      </c>
      <c r="E1094" s="641" t="s">
        <v>22</v>
      </c>
      <c r="F1094" s="642" t="s">
        <v>22</v>
      </c>
      <c r="G1094" s="39" t="s">
        <v>16</v>
      </c>
      <c r="H1094" s="33">
        <v>46085</v>
      </c>
      <c r="I1094" s="643">
        <v>0.33260416666666665</v>
      </c>
      <c r="J1094" s="635">
        <v>0.70887731481481486</v>
      </c>
      <c r="K1094" s="636"/>
      <c r="L1094" s="636"/>
      <c r="M1094" s="637"/>
      <c r="N1094" s="638"/>
      <c r="O1094" s="638"/>
      <c r="P1094" s="639"/>
      <c r="Q1094" s="26"/>
      <c r="R1094" s="26"/>
      <c r="S1094" s="37"/>
    </row>
    <row r="1095" spans="3:19" x14ac:dyDescent="0.25">
      <c r="C1095" s="633">
        <v>32</v>
      </c>
      <c r="D1095" s="640" t="s">
        <v>65</v>
      </c>
      <c r="E1095" s="641" t="s">
        <v>22</v>
      </c>
      <c r="F1095" s="642" t="s">
        <v>22</v>
      </c>
      <c r="G1095" s="39" t="s">
        <v>17</v>
      </c>
      <c r="H1095" s="33">
        <v>46086</v>
      </c>
      <c r="I1095" s="643">
        <v>0.33208333333333334</v>
      </c>
      <c r="J1095" s="635">
        <v>0.70978009259259256</v>
      </c>
      <c r="K1095" s="636"/>
      <c r="L1095" s="636"/>
      <c r="M1095" s="637"/>
      <c r="N1095" s="638"/>
      <c r="O1095" s="638"/>
      <c r="P1095" s="639"/>
      <c r="Q1095" s="26"/>
      <c r="R1095" s="26"/>
      <c r="S1095" s="37"/>
    </row>
    <row r="1096" spans="3:19" x14ac:dyDescent="0.25">
      <c r="C1096" s="633">
        <v>32</v>
      </c>
      <c r="D1096" s="640" t="s">
        <v>65</v>
      </c>
      <c r="E1096" s="641" t="s">
        <v>22</v>
      </c>
      <c r="F1096" s="642" t="s">
        <v>22</v>
      </c>
      <c r="G1096" s="45" t="s">
        <v>18</v>
      </c>
      <c r="H1096" s="33">
        <v>46087</v>
      </c>
      <c r="I1096" s="644">
        <v>0.33439814814814817</v>
      </c>
      <c r="J1096" s="635">
        <v>0.80328703703703708</v>
      </c>
      <c r="K1096" s="636"/>
      <c r="L1096" s="636"/>
      <c r="M1096" s="637">
        <v>2</v>
      </c>
      <c r="N1096" s="638"/>
      <c r="O1096" s="638"/>
      <c r="P1096" s="639"/>
      <c r="Q1096" s="26"/>
      <c r="R1096" s="26"/>
      <c r="S1096" s="37"/>
    </row>
    <row r="1097" spans="3:19" x14ac:dyDescent="0.25">
      <c r="C1097" s="633">
        <v>32</v>
      </c>
      <c r="D1097" s="640" t="s">
        <v>65</v>
      </c>
      <c r="E1097" s="641" t="s">
        <v>22</v>
      </c>
      <c r="F1097" s="642" t="s">
        <v>22</v>
      </c>
      <c r="G1097" s="39" t="s">
        <v>19</v>
      </c>
      <c r="H1097" s="33">
        <v>46088</v>
      </c>
      <c r="I1097" s="644">
        <v>0.33618055555555554</v>
      </c>
      <c r="J1097" s="635">
        <v>0.55134259259259266</v>
      </c>
      <c r="K1097" s="636"/>
      <c r="L1097" s="636"/>
      <c r="M1097" s="637"/>
      <c r="N1097" s="638"/>
      <c r="O1097" s="638"/>
      <c r="P1097" s="639"/>
      <c r="Q1097" s="26"/>
      <c r="R1097" s="26"/>
      <c r="S1097" s="37"/>
    </row>
    <row r="1098" spans="3:19" x14ac:dyDescent="0.25">
      <c r="C1098" s="633">
        <v>32</v>
      </c>
      <c r="D1098" s="640" t="s">
        <v>65</v>
      </c>
      <c r="E1098" s="641" t="s">
        <v>22</v>
      </c>
      <c r="F1098" s="642" t="s">
        <v>22</v>
      </c>
      <c r="G1098" s="46" t="s">
        <v>13</v>
      </c>
      <c r="H1098" s="33">
        <v>46089</v>
      </c>
      <c r="I1098" s="644"/>
      <c r="K1098" s="636"/>
      <c r="L1098" s="636"/>
      <c r="M1098" s="637"/>
      <c r="N1098" s="638"/>
      <c r="O1098" s="638"/>
      <c r="P1098" s="639"/>
      <c r="Q1098" s="26"/>
      <c r="R1098" s="26"/>
      <c r="S1098" s="37"/>
    </row>
    <row r="1099" spans="3:19" x14ac:dyDescent="0.25">
      <c r="C1099" s="633">
        <v>32</v>
      </c>
      <c r="D1099" s="640" t="s">
        <v>65</v>
      </c>
      <c r="E1099" s="641" t="s">
        <v>22</v>
      </c>
      <c r="F1099" s="642" t="s">
        <v>22</v>
      </c>
      <c r="G1099" s="39" t="s">
        <v>14</v>
      </c>
      <c r="H1099" s="33">
        <v>46090</v>
      </c>
      <c r="I1099" s="5">
        <v>0.33337962962962964</v>
      </c>
      <c r="J1099" s="643">
        <v>0.71173611111111112</v>
      </c>
      <c r="K1099" s="636"/>
      <c r="L1099" s="636"/>
      <c r="M1099" s="637"/>
      <c r="N1099" s="638"/>
      <c r="O1099" s="638"/>
      <c r="P1099" s="639"/>
      <c r="Q1099" s="26"/>
      <c r="R1099" s="26"/>
      <c r="S1099" s="37"/>
    </row>
    <row r="1100" spans="3:19" x14ac:dyDescent="0.25">
      <c r="C1100" s="633">
        <v>32</v>
      </c>
      <c r="D1100" s="640" t="s">
        <v>65</v>
      </c>
      <c r="E1100" s="641" t="s">
        <v>22</v>
      </c>
      <c r="F1100" s="642" t="s">
        <v>22</v>
      </c>
      <c r="G1100" s="39" t="s">
        <v>15</v>
      </c>
      <c r="H1100" s="33">
        <v>46091</v>
      </c>
      <c r="I1100" s="634">
        <v>0.33261574074074074</v>
      </c>
      <c r="J1100" s="635">
        <v>0.80449074074074067</v>
      </c>
      <c r="K1100" s="636"/>
      <c r="L1100" s="636"/>
      <c r="M1100" s="637">
        <v>2</v>
      </c>
      <c r="N1100" s="638"/>
      <c r="O1100" s="638"/>
      <c r="P1100" s="639"/>
      <c r="Q1100" s="26"/>
      <c r="R1100" s="26"/>
      <c r="S1100" s="37"/>
    </row>
    <row r="1101" spans="3:19" x14ac:dyDescent="0.25">
      <c r="C1101" s="633">
        <v>32</v>
      </c>
      <c r="D1101" s="640" t="s">
        <v>65</v>
      </c>
      <c r="E1101" s="641" t="s">
        <v>22</v>
      </c>
      <c r="F1101" s="642" t="s">
        <v>22</v>
      </c>
      <c r="G1101" s="39" t="s">
        <v>16</v>
      </c>
      <c r="H1101" s="33">
        <v>46092</v>
      </c>
      <c r="I1101" s="634">
        <v>0.33149305555555558</v>
      </c>
      <c r="J1101" s="635"/>
      <c r="K1101" s="636"/>
      <c r="L1101" s="636"/>
      <c r="M1101" s="637"/>
      <c r="N1101" s="638"/>
      <c r="O1101" s="638"/>
      <c r="P1101" s="639"/>
      <c r="Q1101" s="26"/>
      <c r="R1101" s="26"/>
      <c r="S1101" s="37"/>
    </row>
    <row r="1102" spans="3:19" x14ac:dyDescent="0.25">
      <c r="C1102" s="633">
        <v>32</v>
      </c>
      <c r="D1102" s="640" t="s">
        <v>65</v>
      </c>
      <c r="E1102" s="641" t="s">
        <v>22</v>
      </c>
      <c r="F1102" s="642" t="s">
        <v>22</v>
      </c>
      <c r="G1102" s="39" t="s">
        <v>17</v>
      </c>
      <c r="H1102" s="33">
        <v>46093</v>
      </c>
      <c r="I1102" s="634">
        <v>0.33251157407407406</v>
      </c>
      <c r="J1102" s="635">
        <v>0.71641203703703704</v>
      </c>
      <c r="K1102" s="636"/>
      <c r="L1102" s="636"/>
      <c r="M1102" s="637"/>
      <c r="N1102" s="638"/>
      <c r="O1102" s="638"/>
      <c r="P1102" s="639"/>
      <c r="Q1102" s="26"/>
      <c r="R1102" s="26"/>
      <c r="S1102" s="37"/>
    </row>
    <row r="1103" spans="3:19" x14ac:dyDescent="0.25">
      <c r="C1103" s="633">
        <v>32</v>
      </c>
      <c r="D1103" s="640" t="s">
        <v>65</v>
      </c>
      <c r="E1103" s="641" t="s">
        <v>22</v>
      </c>
      <c r="F1103" s="642" t="s">
        <v>22</v>
      </c>
      <c r="G1103" s="48" t="s">
        <v>18</v>
      </c>
      <c r="H1103" s="33">
        <v>46094</v>
      </c>
      <c r="I1103" s="634">
        <v>0.33424768518518522</v>
      </c>
      <c r="J1103" s="635">
        <v>0.71206018518518521</v>
      </c>
      <c r="K1103" s="636"/>
      <c r="L1103" s="636"/>
      <c r="M1103" s="637"/>
      <c r="N1103" s="638"/>
      <c r="O1103" s="638"/>
      <c r="P1103" s="639"/>
      <c r="Q1103" s="26"/>
      <c r="R1103" s="26"/>
      <c r="S1103" s="37"/>
    </row>
    <row r="1104" spans="3:19" x14ac:dyDescent="0.25">
      <c r="C1104" s="633">
        <v>32</v>
      </c>
      <c r="D1104" s="640" t="s">
        <v>65</v>
      </c>
      <c r="E1104" s="641" t="s">
        <v>22</v>
      </c>
      <c r="F1104" s="642" t="s">
        <v>22</v>
      </c>
      <c r="G1104" s="39" t="s">
        <v>19</v>
      </c>
      <c r="H1104" s="33">
        <v>46095</v>
      </c>
      <c r="I1104" s="634">
        <v>0.3323726851851852</v>
      </c>
      <c r="J1104" s="635"/>
      <c r="K1104" s="636"/>
      <c r="L1104" s="636"/>
      <c r="M1104" s="637"/>
      <c r="N1104" s="638"/>
      <c r="O1104" s="638"/>
      <c r="P1104" s="639"/>
      <c r="Q1104" s="26"/>
      <c r="R1104" s="26"/>
      <c r="S1104" s="37"/>
    </row>
    <row r="1105" spans="3:19" x14ac:dyDescent="0.25">
      <c r="C1105" s="633">
        <v>32</v>
      </c>
      <c r="D1105" s="640" t="s">
        <v>65</v>
      </c>
      <c r="E1105" s="641" t="s">
        <v>22</v>
      </c>
      <c r="F1105" s="642" t="s">
        <v>22</v>
      </c>
      <c r="G1105" s="46" t="s">
        <v>13</v>
      </c>
      <c r="H1105" s="33">
        <v>46096</v>
      </c>
      <c r="I1105" s="634"/>
      <c r="J1105" s="635"/>
      <c r="K1105" s="636"/>
      <c r="L1105" s="636"/>
      <c r="M1105" s="637"/>
      <c r="N1105" s="638"/>
      <c r="O1105" s="638"/>
      <c r="P1105" s="44"/>
      <c r="Q1105" s="26"/>
      <c r="R1105" s="26"/>
      <c r="S1105" s="37"/>
    </row>
    <row r="1106" spans="3:19" x14ac:dyDescent="0.25">
      <c r="C1106" s="633">
        <v>32</v>
      </c>
      <c r="D1106" s="640" t="s">
        <v>65</v>
      </c>
      <c r="E1106" s="641" t="s">
        <v>22</v>
      </c>
      <c r="F1106" s="642" t="s">
        <v>22</v>
      </c>
      <c r="G1106" s="39" t="s">
        <v>14</v>
      </c>
      <c r="H1106" s="33">
        <v>46097</v>
      </c>
      <c r="I1106" s="634"/>
      <c r="J1106" s="635"/>
      <c r="K1106" s="636"/>
      <c r="L1106" s="636"/>
      <c r="M1106" s="637"/>
      <c r="N1106" s="638"/>
      <c r="O1106" s="638"/>
      <c r="P1106" s="639"/>
      <c r="Q1106" s="26"/>
      <c r="R1106" s="26"/>
      <c r="S1106" s="37"/>
    </row>
    <row r="1107" spans="3:19" x14ac:dyDescent="0.25">
      <c r="C1107" s="633">
        <v>32</v>
      </c>
      <c r="D1107" s="640" t="s">
        <v>65</v>
      </c>
      <c r="E1107" s="641" t="s">
        <v>22</v>
      </c>
      <c r="F1107" s="642" t="s">
        <v>22</v>
      </c>
      <c r="G1107" s="39" t="s">
        <v>15</v>
      </c>
      <c r="H1107" s="33">
        <v>46098</v>
      </c>
      <c r="I1107" s="634"/>
      <c r="J1107" s="635"/>
      <c r="K1107" s="636"/>
      <c r="L1107" s="636"/>
      <c r="M1107" s="637"/>
      <c r="N1107" s="638"/>
      <c r="O1107" s="638"/>
      <c r="P1107" s="639"/>
      <c r="Q1107" s="26"/>
      <c r="R1107" s="26"/>
      <c r="S1107" s="37"/>
    </row>
    <row r="1108" spans="3:19" x14ac:dyDescent="0.25">
      <c r="C1108" s="633">
        <v>32</v>
      </c>
      <c r="D1108" s="640" t="s">
        <v>65</v>
      </c>
      <c r="E1108" s="641" t="s">
        <v>22</v>
      </c>
      <c r="F1108" s="642" t="s">
        <v>22</v>
      </c>
      <c r="G1108" s="39" t="s">
        <v>16</v>
      </c>
      <c r="H1108" s="33">
        <v>46099</v>
      </c>
      <c r="I1108" s="634"/>
      <c r="J1108" s="635"/>
      <c r="K1108" s="636"/>
      <c r="L1108" s="636"/>
      <c r="M1108" s="637"/>
      <c r="N1108" s="638"/>
      <c r="O1108" s="638"/>
      <c r="P1108" s="639"/>
      <c r="Q1108" s="26"/>
      <c r="R1108" s="26"/>
      <c r="S1108" s="37"/>
    </row>
    <row r="1109" spans="3:19" x14ac:dyDescent="0.25">
      <c r="C1109" s="633">
        <v>32</v>
      </c>
      <c r="D1109" s="640" t="s">
        <v>65</v>
      </c>
      <c r="E1109" s="641" t="s">
        <v>22</v>
      </c>
      <c r="F1109" s="642" t="s">
        <v>22</v>
      </c>
      <c r="G1109" s="39" t="s">
        <v>17</v>
      </c>
      <c r="H1109" s="33">
        <v>46100</v>
      </c>
      <c r="I1109" s="634"/>
      <c r="J1109" s="635"/>
      <c r="K1109" s="636"/>
      <c r="L1109" s="636"/>
      <c r="M1109" s="637"/>
      <c r="N1109" s="638"/>
      <c r="O1109" s="638"/>
      <c r="P1109" s="639"/>
      <c r="Q1109" s="26"/>
      <c r="R1109" s="26"/>
      <c r="S1109" s="37"/>
    </row>
    <row r="1110" spans="3:19" x14ac:dyDescent="0.25">
      <c r="C1110" s="633">
        <v>32</v>
      </c>
      <c r="D1110" s="640" t="s">
        <v>65</v>
      </c>
      <c r="E1110" s="641" t="s">
        <v>22</v>
      </c>
      <c r="F1110" s="642" t="s">
        <v>22</v>
      </c>
      <c r="G1110" s="39" t="s">
        <v>18</v>
      </c>
      <c r="H1110" s="33">
        <v>46101</v>
      </c>
      <c r="I1110" s="634"/>
      <c r="J1110" s="635"/>
      <c r="K1110" s="636"/>
      <c r="L1110" s="636"/>
      <c r="M1110" s="637"/>
      <c r="N1110" s="638"/>
      <c r="O1110" s="638"/>
      <c r="P1110" s="639"/>
      <c r="Q1110" s="26"/>
      <c r="R1110" s="26"/>
      <c r="S1110" s="37"/>
    </row>
    <row r="1111" spans="3:19" x14ac:dyDescent="0.25">
      <c r="C1111" s="633">
        <v>32</v>
      </c>
      <c r="D1111" s="640" t="s">
        <v>65</v>
      </c>
      <c r="E1111" s="641" t="s">
        <v>22</v>
      </c>
      <c r="F1111" s="642" t="s">
        <v>22</v>
      </c>
      <c r="G1111" s="39" t="s">
        <v>19</v>
      </c>
      <c r="H1111" s="33">
        <v>46102</v>
      </c>
      <c r="I1111" s="634"/>
      <c r="J1111" s="635"/>
      <c r="K1111" s="636"/>
      <c r="L1111" s="636"/>
      <c r="M1111" s="637"/>
      <c r="N1111" s="638"/>
      <c r="O1111" s="638"/>
      <c r="P1111" s="639"/>
      <c r="Q1111" s="26"/>
      <c r="R1111" s="26"/>
      <c r="S1111" s="37"/>
    </row>
    <row r="1112" spans="3:19" x14ac:dyDescent="0.25">
      <c r="C1112" s="633">
        <v>32</v>
      </c>
      <c r="D1112" s="640" t="s">
        <v>65</v>
      </c>
      <c r="E1112" s="641" t="s">
        <v>22</v>
      </c>
      <c r="F1112" s="642" t="s">
        <v>22</v>
      </c>
      <c r="G1112" s="46" t="s">
        <v>13</v>
      </c>
      <c r="H1112" s="33">
        <v>46103</v>
      </c>
      <c r="I1112" s="634"/>
      <c r="J1112" s="635"/>
      <c r="K1112" s="636"/>
      <c r="L1112" s="636"/>
      <c r="M1112" s="637"/>
      <c r="N1112" s="638"/>
      <c r="O1112" s="638"/>
      <c r="P1112" s="639"/>
      <c r="Q1112" s="26"/>
      <c r="R1112" s="26"/>
      <c r="S1112" s="37"/>
    </row>
    <row r="1113" spans="3:19" x14ac:dyDescent="0.25">
      <c r="C1113" s="633">
        <v>32</v>
      </c>
      <c r="D1113" s="640" t="s">
        <v>65</v>
      </c>
      <c r="E1113" s="641" t="s">
        <v>22</v>
      </c>
      <c r="F1113" s="642" t="s">
        <v>22</v>
      </c>
      <c r="G1113" s="39" t="s">
        <v>14</v>
      </c>
      <c r="H1113" s="33">
        <v>46104</v>
      </c>
      <c r="I1113" s="634"/>
      <c r="J1113" s="635"/>
      <c r="K1113" s="636"/>
      <c r="L1113" s="636"/>
      <c r="M1113" s="637"/>
      <c r="N1113" s="638"/>
      <c r="O1113" s="638"/>
      <c r="P1113" s="639"/>
      <c r="Q1113" s="26"/>
      <c r="R1113" s="26"/>
      <c r="S1113" s="37"/>
    </row>
    <row r="1114" spans="3:19" x14ac:dyDescent="0.25">
      <c r="C1114" s="633">
        <v>32</v>
      </c>
      <c r="D1114" s="640" t="s">
        <v>65</v>
      </c>
      <c r="E1114" s="641" t="s">
        <v>22</v>
      </c>
      <c r="F1114" s="642" t="s">
        <v>22</v>
      </c>
      <c r="G1114" s="39" t="s">
        <v>15</v>
      </c>
      <c r="H1114" s="33">
        <v>46105</v>
      </c>
      <c r="I1114" s="634"/>
      <c r="J1114" s="635"/>
      <c r="K1114" s="636"/>
      <c r="L1114" s="636"/>
      <c r="M1114" s="637"/>
      <c r="N1114" s="638"/>
      <c r="O1114" s="638"/>
      <c r="P1114" s="639"/>
      <c r="Q1114" s="26"/>
      <c r="R1114" s="26"/>
      <c r="S1114" s="37"/>
    </row>
    <row r="1115" spans="3:19" x14ac:dyDescent="0.25">
      <c r="C1115" s="633">
        <v>32</v>
      </c>
      <c r="D1115" s="640" t="s">
        <v>65</v>
      </c>
      <c r="E1115" s="641"/>
      <c r="F1115" s="642"/>
      <c r="G1115" s="39" t="s">
        <v>16</v>
      </c>
      <c r="H1115" s="33">
        <v>46106</v>
      </c>
      <c r="I1115" s="634"/>
      <c r="J1115" s="635"/>
      <c r="K1115" s="636"/>
      <c r="L1115" s="636"/>
      <c r="M1115" s="637"/>
      <c r="N1115" s="638"/>
      <c r="O1115" s="638"/>
      <c r="P1115" s="639"/>
      <c r="Q1115" s="26"/>
      <c r="R1115" s="26"/>
      <c r="S1115" s="37"/>
    </row>
    <row r="1116" spans="3:19" x14ac:dyDescent="0.25">
      <c r="C1116" s="633">
        <v>32</v>
      </c>
      <c r="D1116" s="640" t="s">
        <v>65</v>
      </c>
      <c r="E1116" s="641"/>
      <c r="F1116" s="642"/>
      <c r="G1116" s="39" t="s">
        <v>17</v>
      </c>
      <c r="H1116" s="33">
        <v>46107</v>
      </c>
      <c r="I1116" s="634"/>
      <c r="J1116" s="635"/>
      <c r="K1116" s="636"/>
      <c r="L1116" s="636"/>
      <c r="M1116" s="637"/>
      <c r="N1116" s="638"/>
      <c r="O1116" s="638"/>
      <c r="P1116" s="639"/>
      <c r="Q1116" s="26"/>
      <c r="R1116" s="26"/>
      <c r="S1116" s="37"/>
    </row>
    <row r="1117" spans="3:19" x14ac:dyDescent="0.25">
      <c r="C1117" s="633">
        <v>32</v>
      </c>
      <c r="D1117" s="640" t="s">
        <v>65</v>
      </c>
      <c r="E1117" s="641"/>
      <c r="F1117" s="642"/>
      <c r="G1117" s="39" t="s">
        <v>18</v>
      </c>
      <c r="H1117" s="33">
        <v>46108</v>
      </c>
      <c r="I1117" s="634"/>
      <c r="J1117" s="635"/>
      <c r="K1117" s="636"/>
      <c r="L1117" s="636"/>
      <c r="M1117" s="637"/>
      <c r="N1117" s="638"/>
      <c r="O1117" s="638"/>
      <c r="P1117" s="639"/>
      <c r="Q1117" s="26"/>
      <c r="R1117" s="26"/>
      <c r="S1117" s="37"/>
    </row>
    <row r="1118" spans="3:19" x14ac:dyDescent="0.25">
      <c r="C1118" s="633">
        <v>32</v>
      </c>
      <c r="D1118" s="640" t="s">
        <v>65</v>
      </c>
      <c r="E1118" s="641"/>
      <c r="F1118" s="642"/>
      <c r="G1118" s="39" t="s">
        <v>19</v>
      </c>
      <c r="H1118" s="33">
        <v>46109</v>
      </c>
      <c r="I1118" s="634"/>
      <c r="J1118" s="635"/>
      <c r="K1118" s="636"/>
      <c r="L1118" s="636"/>
      <c r="M1118" s="637"/>
      <c r="N1118" s="638"/>
      <c r="O1118" s="638"/>
      <c r="P1118" s="639"/>
      <c r="Q1118" s="26"/>
      <c r="R1118" s="26"/>
      <c r="S1118" s="37"/>
    </row>
    <row r="1119" spans="3:19" x14ac:dyDescent="0.25">
      <c r="C1119" s="633">
        <v>32</v>
      </c>
      <c r="D1119" s="640" t="s">
        <v>65</v>
      </c>
      <c r="E1119" s="641"/>
      <c r="F1119" s="642"/>
      <c r="G1119" s="46" t="s">
        <v>13</v>
      </c>
      <c r="H1119" s="33">
        <v>46110</v>
      </c>
      <c r="I1119" s="634"/>
      <c r="J1119" s="635"/>
      <c r="K1119" s="636"/>
      <c r="L1119" s="636"/>
      <c r="M1119" s="637"/>
      <c r="N1119" s="638"/>
      <c r="O1119" s="638"/>
      <c r="P1119" s="639"/>
      <c r="Q1119" s="26"/>
      <c r="R1119" s="26"/>
      <c r="S1119" s="37"/>
    </row>
    <row r="1120" spans="3:19" x14ac:dyDescent="0.25">
      <c r="C1120" s="633">
        <v>32</v>
      </c>
      <c r="D1120" s="640" t="s">
        <v>65</v>
      </c>
      <c r="E1120" s="641"/>
      <c r="F1120" s="642"/>
      <c r="G1120" s="39" t="s">
        <v>14</v>
      </c>
      <c r="H1120" s="33">
        <v>46111</v>
      </c>
      <c r="I1120" s="634"/>
      <c r="J1120" s="635"/>
      <c r="K1120" s="636"/>
      <c r="L1120" s="636"/>
      <c r="M1120" s="637"/>
      <c r="N1120" s="638"/>
      <c r="O1120" s="638"/>
      <c r="P1120" s="639"/>
      <c r="Q1120" s="26"/>
      <c r="R1120" s="26"/>
      <c r="S1120" s="37"/>
    </row>
    <row r="1121" spans="3:19" x14ac:dyDescent="0.25">
      <c r="C1121" s="633">
        <v>32</v>
      </c>
      <c r="D1121" s="640" t="s">
        <v>65</v>
      </c>
      <c r="E1121" s="641"/>
      <c r="F1121" s="642"/>
      <c r="G1121" s="39" t="s">
        <v>15</v>
      </c>
      <c r="H1121" s="33">
        <v>46112</v>
      </c>
      <c r="I1121" s="634"/>
      <c r="J1121" s="635"/>
      <c r="K1121" s="636"/>
      <c r="L1121" s="636"/>
      <c r="M1121" s="637"/>
      <c r="N1121" s="638"/>
      <c r="O1121" s="638"/>
      <c r="P1121" s="639"/>
      <c r="Q1121" s="26"/>
      <c r="R1121" s="26"/>
      <c r="S1121" s="37"/>
    </row>
    <row r="1122" spans="3:19" x14ac:dyDescent="0.25">
      <c r="C1122" s="633"/>
      <c r="D1122" s="640"/>
      <c r="E1122" s="641"/>
      <c r="F1122" s="642"/>
      <c r="G1122" s="39"/>
      <c r="H1122" s="33"/>
      <c r="I1122" s="645"/>
      <c r="J1122" s="646"/>
      <c r="K1122" s="647"/>
      <c r="L1122" s="647"/>
      <c r="M1122" s="648"/>
      <c r="N1122" s="649"/>
      <c r="O1122" s="649"/>
      <c r="P1122" s="639"/>
      <c r="Q1122" s="26"/>
      <c r="R1122" s="26"/>
      <c r="S1122" s="37"/>
    </row>
    <row r="1123" spans="3:19" x14ac:dyDescent="0.25">
      <c r="C1123" s="650"/>
      <c r="D1123" s="651"/>
      <c r="E1123" s="652"/>
      <c r="F1123" s="652"/>
      <c r="G1123" s="653"/>
      <c r="H1123" s="654"/>
      <c r="I1123" s="655"/>
      <c r="J1123" s="656" t="s">
        <v>20</v>
      </c>
      <c r="K1123" s="657"/>
      <c r="L1123" s="657"/>
      <c r="M1123" s="658">
        <f>SUM(M1091:M1122)</f>
        <v>6</v>
      </c>
      <c r="N1123" s="658">
        <f t="shared" ref="N1123:O1123" si="26">SUM(N1091:N1122)</f>
        <v>0</v>
      </c>
      <c r="O1123" s="658">
        <f t="shared" si="26"/>
        <v>1</v>
      </c>
      <c r="P1123" s="659"/>
      <c r="Q1123" s="26"/>
      <c r="R1123" s="26"/>
      <c r="S1123" s="37"/>
    </row>
    <row r="1124" spans="3:19" x14ac:dyDescent="0.2">
      <c r="C1124" s="660"/>
      <c r="D1124" s="661"/>
      <c r="E1124" s="662"/>
      <c r="F1124" s="662"/>
      <c r="G1124" s="663"/>
      <c r="H1124" s="664"/>
      <c r="I1124" s="665"/>
      <c r="J1124" s="665"/>
      <c r="K1124" s="664"/>
      <c r="L1124" s="664"/>
      <c r="M1124" s="664"/>
      <c r="N1124" s="666"/>
      <c r="O1124" s="666"/>
      <c r="P1124" s="667"/>
      <c r="Q1124" s="26"/>
      <c r="R1124" s="26"/>
      <c r="S1124" s="37"/>
    </row>
    <row r="1125" spans="3:19" x14ac:dyDescent="0.2">
      <c r="C1125" s="660"/>
      <c r="D1125" s="661"/>
      <c r="E1125" s="662"/>
      <c r="F1125" s="662"/>
      <c r="G1125" s="663"/>
      <c r="H1125" s="664"/>
      <c r="I1125" s="665"/>
      <c r="J1125" s="665"/>
      <c r="K1125" s="664"/>
      <c r="L1125" s="664"/>
      <c r="M1125" s="664"/>
      <c r="N1125" s="666"/>
      <c r="O1125" s="666"/>
      <c r="P1125" s="667"/>
      <c r="Q1125" s="26"/>
      <c r="R1125" s="26"/>
      <c r="S1125" s="37"/>
    </row>
    <row r="1126" spans="3:19" x14ac:dyDescent="0.2">
      <c r="C1126" s="365" t="s">
        <v>1</v>
      </c>
      <c r="D1126" s="668" t="s">
        <v>2</v>
      </c>
      <c r="E1126" s="669" t="s">
        <v>3</v>
      </c>
      <c r="F1126" s="669" t="s">
        <v>4</v>
      </c>
      <c r="G1126" s="670" t="s">
        <v>5</v>
      </c>
      <c r="H1126" s="669" t="s">
        <v>6</v>
      </c>
      <c r="I1126" s="671" t="s">
        <v>7</v>
      </c>
      <c r="J1126" s="671" t="s">
        <v>60</v>
      </c>
      <c r="K1126" s="672"/>
      <c r="L1126" s="673"/>
      <c r="M1126" s="673" t="s">
        <v>9</v>
      </c>
      <c r="N1126" s="674" t="s">
        <v>10</v>
      </c>
      <c r="O1126" s="674" t="s">
        <v>11</v>
      </c>
      <c r="P1126" s="675"/>
      <c r="Q1126" s="26"/>
      <c r="R1126" s="26"/>
      <c r="S1126" s="37"/>
    </row>
    <row r="1127" spans="3:19" x14ac:dyDescent="0.25">
      <c r="C1127" s="633">
        <v>33</v>
      </c>
      <c r="D1127" s="640" t="s">
        <v>66</v>
      </c>
      <c r="E1127" s="641" t="s">
        <v>22</v>
      </c>
      <c r="F1127" s="642" t="s">
        <v>22</v>
      </c>
      <c r="G1127" s="32" t="s">
        <v>13</v>
      </c>
      <c r="H1127" s="33">
        <v>46082</v>
      </c>
      <c r="I1127" s="644"/>
      <c r="J1127" s="635"/>
      <c r="K1127" s="636"/>
      <c r="L1127" s="636"/>
      <c r="M1127" s="637"/>
      <c r="N1127" s="638"/>
      <c r="O1127" s="638"/>
      <c r="P1127" s="639"/>
      <c r="Q1127" s="26"/>
      <c r="R1127" s="26"/>
      <c r="S1127" s="37"/>
    </row>
    <row r="1128" spans="3:19" x14ac:dyDescent="0.25">
      <c r="C1128" s="633">
        <v>33</v>
      </c>
      <c r="D1128" s="640" t="s">
        <v>66</v>
      </c>
      <c r="E1128" s="641" t="s">
        <v>22</v>
      </c>
      <c r="F1128" s="642" t="s">
        <v>22</v>
      </c>
      <c r="G1128" s="29" t="s">
        <v>14</v>
      </c>
      <c r="H1128" s="33">
        <v>46083</v>
      </c>
      <c r="I1128" s="644"/>
      <c r="J1128" s="635"/>
      <c r="K1128" s="636"/>
      <c r="L1128" s="636"/>
      <c r="M1128" s="637"/>
      <c r="N1128" s="638"/>
      <c r="O1128" s="638"/>
      <c r="P1128" s="639"/>
      <c r="Q1128" s="26"/>
      <c r="R1128" s="26"/>
      <c r="S1128" s="37"/>
    </row>
    <row r="1129" spans="3:19" x14ac:dyDescent="0.25">
      <c r="C1129" s="633">
        <v>33</v>
      </c>
      <c r="D1129" s="640" t="s">
        <v>66</v>
      </c>
      <c r="E1129" s="641" t="s">
        <v>22</v>
      </c>
      <c r="F1129" s="642" t="s">
        <v>22</v>
      </c>
      <c r="G1129" s="39" t="s">
        <v>15</v>
      </c>
      <c r="H1129" s="33">
        <v>46084</v>
      </c>
      <c r="I1129" s="643"/>
      <c r="J1129" s="635"/>
      <c r="K1129" s="636"/>
      <c r="L1129" s="636"/>
      <c r="M1129" s="637"/>
      <c r="N1129" s="638"/>
      <c r="O1129" s="638"/>
      <c r="P1129" s="639"/>
      <c r="Q1129" s="26"/>
      <c r="R1129" s="26"/>
      <c r="S1129" s="37"/>
    </row>
    <row r="1130" spans="3:19" x14ac:dyDescent="0.25">
      <c r="C1130" s="633">
        <v>33</v>
      </c>
      <c r="D1130" s="640" t="s">
        <v>66</v>
      </c>
      <c r="E1130" s="641" t="s">
        <v>22</v>
      </c>
      <c r="F1130" s="642" t="s">
        <v>22</v>
      </c>
      <c r="G1130" s="39" t="s">
        <v>16</v>
      </c>
      <c r="H1130" s="33">
        <v>46085</v>
      </c>
      <c r="I1130" s="643"/>
      <c r="J1130" s="635"/>
      <c r="K1130" s="636"/>
      <c r="L1130" s="636"/>
      <c r="M1130" s="637"/>
      <c r="N1130" s="638"/>
      <c r="O1130" s="638"/>
      <c r="P1130" s="639"/>
      <c r="Q1130" s="26"/>
      <c r="R1130" s="26"/>
      <c r="S1130" s="37"/>
    </row>
    <row r="1131" spans="3:19" x14ac:dyDescent="0.25">
      <c r="C1131" s="633">
        <v>33</v>
      </c>
      <c r="D1131" s="640" t="s">
        <v>66</v>
      </c>
      <c r="E1131" s="641" t="s">
        <v>22</v>
      </c>
      <c r="F1131" s="642" t="s">
        <v>22</v>
      </c>
      <c r="G1131" s="39" t="s">
        <v>17</v>
      </c>
      <c r="H1131" s="33">
        <v>46086</v>
      </c>
      <c r="I1131" s="643"/>
      <c r="J1131" s="635"/>
      <c r="K1131" s="636"/>
      <c r="L1131" s="636"/>
      <c r="M1131" s="637"/>
      <c r="N1131" s="638"/>
      <c r="O1131" s="638"/>
      <c r="P1131" s="639"/>
      <c r="Q1131" s="26"/>
      <c r="R1131" s="26"/>
      <c r="S1131" s="37"/>
    </row>
    <row r="1132" spans="3:19" x14ac:dyDescent="0.25">
      <c r="C1132" s="633">
        <v>33</v>
      </c>
      <c r="D1132" s="640" t="s">
        <v>66</v>
      </c>
      <c r="E1132" s="641" t="s">
        <v>22</v>
      </c>
      <c r="F1132" s="642" t="s">
        <v>22</v>
      </c>
      <c r="G1132" s="45" t="s">
        <v>18</v>
      </c>
      <c r="H1132" s="33">
        <v>46087</v>
      </c>
      <c r="I1132" s="643"/>
      <c r="J1132" s="635"/>
      <c r="K1132" s="636"/>
      <c r="L1132" s="636"/>
      <c r="M1132" s="637"/>
      <c r="N1132" s="638"/>
      <c r="O1132" s="638"/>
      <c r="P1132" s="639"/>
      <c r="Q1132" s="26"/>
      <c r="R1132" s="26"/>
      <c r="S1132" s="37"/>
    </row>
    <row r="1133" spans="3:19" x14ac:dyDescent="0.25">
      <c r="C1133" s="633">
        <v>33</v>
      </c>
      <c r="D1133" s="640" t="s">
        <v>66</v>
      </c>
      <c r="E1133" s="641" t="s">
        <v>22</v>
      </c>
      <c r="F1133" s="642" t="s">
        <v>22</v>
      </c>
      <c r="G1133" s="39" t="s">
        <v>19</v>
      </c>
      <c r="H1133" s="33">
        <v>46088</v>
      </c>
      <c r="I1133" s="643"/>
      <c r="J1133" s="635"/>
      <c r="K1133" s="636"/>
      <c r="L1133" s="636"/>
      <c r="M1133" s="637"/>
      <c r="N1133" s="638"/>
      <c r="O1133" s="638"/>
      <c r="P1133" s="639"/>
      <c r="Q1133" s="26"/>
      <c r="R1133" s="26"/>
      <c r="S1133" s="37"/>
    </row>
    <row r="1134" spans="3:19" x14ac:dyDescent="0.25">
      <c r="C1134" s="633">
        <v>33</v>
      </c>
      <c r="D1134" s="640" t="s">
        <v>66</v>
      </c>
      <c r="E1134" s="641" t="s">
        <v>22</v>
      </c>
      <c r="F1134" s="642" t="s">
        <v>22</v>
      </c>
      <c r="G1134" s="46" t="s">
        <v>13</v>
      </c>
      <c r="H1134" s="33">
        <v>46089</v>
      </c>
      <c r="I1134" s="644"/>
      <c r="K1134" s="636"/>
      <c r="L1134" s="636"/>
      <c r="M1134" s="637"/>
      <c r="N1134" s="638"/>
      <c r="O1134" s="638"/>
      <c r="P1134" s="639"/>
      <c r="Q1134" s="26"/>
      <c r="R1134" s="26"/>
      <c r="S1134" s="37"/>
    </row>
    <row r="1135" spans="3:19" x14ac:dyDescent="0.25">
      <c r="C1135" s="633">
        <v>33</v>
      </c>
      <c r="D1135" s="640" t="s">
        <v>66</v>
      </c>
      <c r="E1135" s="641" t="s">
        <v>22</v>
      </c>
      <c r="F1135" s="642" t="s">
        <v>22</v>
      </c>
      <c r="G1135" s="39" t="s">
        <v>14</v>
      </c>
      <c r="H1135" s="33">
        <v>46090</v>
      </c>
      <c r="J1135" s="643"/>
      <c r="K1135" s="636"/>
      <c r="L1135" s="636"/>
      <c r="M1135" s="637"/>
      <c r="N1135" s="638"/>
      <c r="O1135" s="638"/>
      <c r="P1135" s="639"/>
      <c r="Q1135" s="26"/>
      <c r="R1135" s="26"/>
      <c r="S1135" s="37"/>
    </row>
    <row r="1136" spans="3:19" x14ac:dyDescent="0.25">
      <c r="C1136" s="633">
        <v>33</v>
      </c>
      <c r="D1136" s="640" t="s">
        <v>66</v>
      </c>
      <c r="E1136" s="641" t="s">
        <v>22</v>
      </c>
      <c r="F1136" s="642" t="s">
        <v>22</v>
      </c>
      <c r="G1136" s="39" t="s">
        <v>15</v>
      </c>
      <c r="H1136" s="33">
        <v>46091</v>
      </c>
      <c r="I1136" s="644"/>
      <c r="J1136" s="635"/>
      <c r="K1136" s="636"/>
      <c r="L1136" s="636"/>
      <c r="M1136" s="637"/>
      <c r="N1136" s="638"/>
      <c r="O1136" s="638"/>
      <c r="P1136" s="639"/>
      <c r="Q1136" s="26"/>
      <c r="R1136" s="26"/>
      <c r="S1136" s="37"/>
    </row>
    <row r="1137" spans="3:19" x14ac:dyDescent="0.25">
      <c r="C1137" s="633">
        <v>33</v>
      </c>
      <c r="D1137" s="640" t="s">
        <v>66</v>
      </c>
      <c r="E1137" s="641" t="s">
        <v>22</v>
      </c>
      <c r="F1137" s="642" t="s">
        <v>22</v>
      </c>
      <c r="G1137" s="39" t="s">
        <v>16</v>
      </c>
      <c r="H1137" s="33">
        <v>46092</v>
      </c>
      <c r="I1137" s="643"/>
      <c r="J1137" s="635"/>
      <c r="K1137" s="636"/>
      <c r="L1137" s="636"/>
      <c r="M1137" s="637"/>
      <c r="N1137" s="638"/>
      <c r="O1137" s="638"/>
      <c r="P1137" s="639"/>
      <c r="Q1137" s="26"/>
      <c r="R1137" s="26"/>
      <c r="S1137" s="37"/>
    </row>
    <row r="1138" spans="3:19" x14ac:dyDescent="0.25">
      <c r="C1138" s="633">
        <v>33</v>
      </c>
      <c r="D1138" s="640" t="s">
        <v>66</v>
      </c>
      <c r="E1138" s="641" t="s">
        <v>22</v>
      </c>
      <c r="F1138" s="642" t="s">
        <v>22</v>
      </c>
      <c r="G1138" s="39" t="s">
        <v>17</v>
      </c>
      <c r="H1138" s="33">
        <v>46093</v>
      </c>
      <c r="I1138" s="643"/>
      <c r="J1138" s="635"/>
      <c r="K1138" s="636"/>
      <c r="L1138" s="636"/>
      <c r="M1138" s="637"/>
      <c r="N1138" s="638"/>
      <c r="O1138" s="638"/>
      <c r="P1138" s="639"/>
      <c r="Q1138" s="26"/>
      <c r="R1138" s="26"/>
      <c r="S1138" s="37"/>
    </row>
    <row r="1139" spans="3:19" x14ac:dyDescent="0.25">
      <c r="C1139" s="633">
        <v>33</v>
      </c>
      <c r="D1139" s="640" t="s">
        <v>66</v>
      </c>
      <c r="E1139" s="641" t="s">
        <v>22</v>
      </c>
      <c r="F1139" s="642" t="s">
        <v>22</v>
      </c>
      <c r="G1139" s="48" t="s">
        <v>18</v>
      </c>
      <c r="H1139" s="33">
        <v>46094</v>
      </c>
      <c r="I1139" s="644"/>
      <c r="J1139" s="635"/>
      <c r="K1139" s="636"/>
      <c r="L1139" s="636"/>
      <c r="M1139" s="637"/>
      <c r="N1139" s="638"/>
      <c r="O1139" s="638"/>
      <c r="P1139" s="639"/>
      <c r="Q1139" s="26"/>
      <c r="R1139" s="26"/>
      <c r="S1139" s="37"/>
    </row>
    <row r="1140" spans="3:19" x14ac:dyDescent="0.25">
      <c r="C1140" s="633">
        <v>33</v>
      </c>
      <c r="D1140" s="640" t="s">
        <v>66</v>
      </c>
      <c r="E1140" s="641" t="s">
        <v>22</v>
      </c>
      <c r="F1140" s="642" t="s">
        <v>22</v>
      </c>
      <c r="G1140" s="39" t="s">
        <v>19</v>
      </c>
      <c r="H1140" s="33">
        <v>46095</v>
      </c>
      <c r="I1140" s="643"/>
      <c r="J1140" s="635"/>
      <c r="K1140" s="636"/>
      <c r="L1140" s="636"/>
      <c r="M1140" s="637"/>
      <c r="N1140" s="638"/>
      <c r="O1140" s="638"/>
      <c r="P1140" s="639"/>
      <c r="Q1140" s="26"/>
      <c r="R1140" s="26"/>
      <c r="S1140" s="37"/>
    </row>
    <row r="1141" spans="3:19" x14ac:dyDescent="0.25">
      <c r="C1141" s="633">
        <v>33</v>
      </c>
      <c r="D1141" s="640" t="s">
        <v>66</v>
      </c>
      <c r="E1141" s="641" t="s">
        <v>22</v>
      </c>
      <c r="F1141" s="642" t="s">
        <v>22</v>
      </c>
      <c r="G1141" s="46" t="s">
        <v>13</v>
      </c>
      <c r="H1141" s="33">
        <v>46096</v>
      </c>
      <c r="I1141" s="643"/>
      <c r="J1141" s="635"/>
      <c r="K1141" s="636"/>
      <c r="L1141" s="636"/>
      <c r="M1141" s="637"/>
      <c r="N1141" s="638"/>
      <c r="O1141" s="638"/>
      <c r="P1141" s="44"/>
      <c r="Q1141" s="26"/>
      <c r="R1141" s="26"/>
      <c r="S1141" s="37"/>
    </row>
    <row r="1142" spans="3:19" x14ac:dyDescent="0.25">
      <c r="C1142" s="633">
        <v>33</v>
      </c>
      <c r="D1142" s="640" t="s">
        <v>66</v>
      </c>
      <c r="E1142" s="641" t="s">
        <v>22</v>
      </c>
      <c r="F1142" s="642" t="s">
        <v>22</v>
      </c>
      <c r="G1142" s="39" t="s">
        <v>14</v>
      </c>
      <c r="H1142" s="33">
        <v>46097</v>
      </c>
      <c r="I1142" s="644"/>
      <c r="J1142" s="635"/>
      <c r="K1142" s="636"/>
      <c r="L1142" s="636"/>
      <c r="M1142" s="637"/>
      <c r="N1142" s="638"/>
      <c r="O1142" s="638"/>
      <c r="P1142" s="639"/>
      <c r="Q1142" s="26"/>
      <c r="R1142" s="26"/>
      <c r="S1142" s="37"/>
    </row>
    <row r="1143" spans="3:19" x14ac:dyDescent="0.25">
      <c r="C1143" s="633">
        <v>33</v>
      </c>
      <c r="D1143" s="640" t="s">
        <v>66</v>
      </c>
      <c r="E1143" s="641" t="s">
        <v>22</v>
      </c>
      <c r="F1143" s="642" t="s">
        <v>22</v>
      </c>
      <c r="G1143" s="39" t="s">
        <v>15</v>
      </c>
      <c r="H1143" s="33">
        <v>46098</v>
      </c>
      <c r="I1143" s="644"/>
      <c r="J1143" s="635"/>
      <c r="K1143" s="636"/>
      <c r="L1143" s="636"/>
      <c r="M1143" s="637"/>
      <c r="N1143" s="638"/>
      <c r="O1143" s="638"/>
      <c r="P1143" s="639"/>
      <c r="Q1143" s="26"/>
      <c r="R1143" s="26"/>
      <c r="S1143" s="37"/>
    </row>
    <row r="1144" spans="3:19" x14ac:dyDescent="0.25">
      <c r="C1144" s="633">
        <v>33</v>
      </c>
      <c r="D1144" s="640" t="s">
        <v>66</v>
      </c>
      <c r="E1144" s="641" t="s">
        <v>22</v>
      </c>
      <c r="F1144" s="642" t="s">
        <v>22</v>
      </c>
      <c r="G1144" s="39" t="s">
        <v>16</v>
      </c>
      <c r="H1144" s="33">
        <v>46099</v>
      </c>
      <c r="I1144" s="634"/>
      <c r="J1144" s="635"/>
      <c r="K1144" s="636"/>
      <c r="L1144" s="636"/>
      <c r="M1144" s="637"/>
      <c r="N1144" s="638"/>
      <c r="O1144" s="638"/>
      <c r="P1144" s="639"/>
      <c r="Q1144" s="26"/>
      <c r="R1144" s="26"/>
      <c r="S1144" s="37"/>
    </row>
    <row r="1145" spans="3:19" x14ac:dyDescent="0.25">
      <c r="C1145" s="633">
        <v>33</v>
      </c>
      <c r="D1145" s="640" t="s">
        <v>66</v>
      </c>
      <c r="E1145" s="641" t="s">
        <v>22</v>
      </c>
      <c r="F1145" s="642" t="s">
        <v>22</v>
      </c>
      <c r="G1145" s="39" t="s">
        <v>17</v>
      </c>
      <c r="H1145" s="33">
        <v>46100</v>
      </c>
      <c r="I1145" s="634"/>
      <c r="J1145" s="635"/>
      <c r="K1145" s="636"/>
      <c r="L1145" s="636"/>
      <c r="M1145" s="637"/>
      <c r="N1145" s="638"/>
      <c r="O1145" s="638"/>
      <c r="P1145" s="639"/>
      <c r="Q1145" s="26"/>
      <c r="R1145" s="26"/>
      <c r="S1145" s="37"/>
    </row>
    <row r="1146" spans="3:19" x14ac:dyDescent="0.25">
      <c r="C1146" s="633">
        <v>33</v>
      </c>
      <c r="D1146" s="640" t="s">
        <v>66</v>
      </c>
      <c r="E1146" s="641" t="s">
        <v>22</v>
      </c>
      <c r="F1146" s="642" t="s">
        <v>22</v>
      </c>
      <c r="G1146" s="39" t="s">
        <v>18</v>
      </c>
      <c r="H1146" s="33">
        <v>46101</v>
      </c>
      <c r="I1146" s="643"/>
      <c r="J1146" s="635"/>
      <c r="K1146" s="636"/>
      <c r="L1146" s="636"/>
      <c r="M1146" s="637"/>
      <c r="N1146" s="638"/>
      <c r="O1146" s="638"/>
      <c r="P1146" s="639"/>
      <c r="Q1146" s="26"/>
      <c r="R1146" s="26"/>
      <c r="S1146" s="37"/>
    </row>
    <row r="1147" spans="3:19" x14ac:dyDescent="0.25">
      <c r="C1147" s="633">
        <v>33</v>
      </c>
      <c r="D1147" s="640" t="s">
        <v>66</v>
      </c>
      <c r="E1147" s="641" t="s">
        <v>22</v>
      </c>
      <c r="F1147" s="642" t="s">
        <v>22</v>
      </c>
      <c r="G1147" s="39" t="s">
        <v>19</v>
      </c>
      <c r="H1147" s="33">
        <v>46102</v>
      </c>
      <c r="I1147" s="643"/>
      <c r="J1147" s="635"/>
      <c r="K1147" s="636"/>
      <c r="L1147" s="636"/>
      <c r="M1147" s="637"/>
      <c r="N1147" s="638"/>
      <c r="O1147" s="638"/>
      <c r="P1147" s="639"/>
      <c r="Q1147" s="26"/>
      <c r="R1147" s="26"/>
      <c r="S1147" s="37"/>
    </row>
    <row r="1148" spans="3:19" x14ac:dyDescent="0.25">
      <c r="C1148" s="633">
        <v>33</v>
      </c>
      <c r="D1148" s="640" t="s">
        <v>66</v>
      </c>
      <c r="E1148" s="641" t="s">
        <v>22</v>
      </c>
      <c r="F1148" s="642" t="s">
        <v>22</v>
      </c>
      <c r="G1148" s="46" t="s">
        <v>13</v>
      </c>
      <c r="H1148" s="33">
        <v>46103</v>
      </c>
      <c r="I1148" s="643"/>
      <c r="J1148" s="635"/>
      <c r="K1148" s="636"/>
      <c r="L1148" s="636"/>
      <c r="M1148" s="637"/>
      <c r="N1148" s="638"/>
      <c r="O1148" s="638"/>
      <c r="P1148" s="639"/>
      <c r="Q1148" s="26"/>
      <c r="R1148" s="26"/>
      <c r="S1148" s="37"/>
    </row>
    <row r="1149" spans="3:19" x14ac:dyDescent="0.25">
      <c r="C1149" s="633">
        <v>33</v>
      </c>
      <c r="D1149" s="640" t="s">
        <v>66</v>
      </c>
      <c r="E1149" s="641" t="s">
        <v>22</v>
      </c>
      <c r="F1149" s="642" t="s">
        <v>22</v>
      </c>
      <c r="G1149" s="39" t="s">
        <v>14</v>
      </c>
      <c r="H1149" s="33">
        <v>46104</v>
      </c>
      <c r="I1149" s="634"/>
      <c r="J1149" s="635"/>
      <c r="K1149" s="636"/>
      <c r="L1149" s="636"/>
      <c r="M1149" s="637"/>
      <c r="N1149" s="638"/>
      <c r="O1149" s="638"/>
      <c r="P1149" s="639"/>
      <c r="Q1149" s="26"/>
      <c r="R1149" s="26"/>
      <c r="S1149" s="37"/>
    </row>
    <row r="1150" spans="3:19" x14ac:dyDescent="0.25">
      <c r="C1150" s="633">
        <v>33</v>
      </c>
      <c r="D1150" s="640" t="s">
        <v>66</v>
      </c>
      <c r="E1150" s="641" t="s">
        <v>22</v>
      </c>
      <c r="F1150" s="642" t="s">
        <v>22</v>
      </c>
      <c r="G1150" s="39" t="s">
        <v>15</v>
      </c>
      <c r="H1150" s="33">
        <v>46105</v>
      </c>
      <c r="I1150" s="643"/>
      <c r="J1150" s="635"/>
      <c r="K1150" s="636"/>
      <c r="L1150" s="636"/>
      <c r="M1150" s="637"/>
      <c r="N1150" s="638"/>
      <c r="O1150" s="638"/>
      <c r="P1150" s="639"/>
      <c r="Q1150" s="26"/>
      <c r="R1150" s="26"/>
      <c r="S1150" s="37"/>
    </row>
    <row r="1151" spans="3:19" x14ac:dyDescent="0.25">
      <c r="C1151" s="633">
        <v>33</v>
      </c>
      <c r="D1151" s="640" t="s">
        <v>66</v>
      </c>
      <c r="E1151" s="641"/>
      <c r="F1151" s="642"/>
      <c r="G1151" s="39" t="s">
        <v>16</v>
      </c>
      <c r="H1151" s="33">
        <v>46106</v>
      </c>
      <c r="I1151" s="643"/>
      <c r="J1151" s="635"/>
      <c r="K1151" s="636"/>
      <c r="L1151" s="636"/>
      <c r="M1151" s="637"/>
      <c r="N1151" s="638"/>
      <c r="O1151" s="638"/>
      <c r="P1151" s="639"/>
      <c r="Q1151" s="26"/>
      <c r="R1151" s="26"/>
      <c r="S1151" s="37"/>
    </row>
    <row r="1152" spans="3:19" x14ac:dyDescent="0.25">
      <c r="C1152" s="633">
        <v>33</v>
      </c>
      <c r="D1152" s="640" t="s">
        <v>66</v>
      </c>
      <c r="E1152" s="641"/>
      <c r="F1152" s="642"/>
      <c r="G1152" s="39" t="s">
        <v>17</v>
      </c>
      <c r="H1152" s="33">
        <v>46107</v>
      </c>
      <c r="I1152" s="634"/>
      <c r="J1152" s="635"/>
      <c r="K1152" s="636"/>
      <c r="L1152" s="636"/>
      <c r="M1152" s="637"/>
      <c r="N1152" s="638"/>
      <c r="O1152" s="638"/>
      <c r="P1152" s="639"/>
      <c r="Q1152" s="26"/>
      <c r="R1152" s="26"/>
      <c r="S1152" s="37"/>
    </row>
    <row r="1153" spans="3:19" x14ac:dyDescent="0.25">
      <c r="C1153" s="633">
        <v>33</v>
      </c>
      <c r="D1153" s="640" t="s">
        <v>66</v>
      </c>
      <c r="E1153" s="641"/>
      <c r="F1153" s="642"/>
      <c r="G1153" s="39" t="s">
        <v>18</v>
      </c>
      <c r="H1153" s="33">
        <v>46108</v>
      </c>
      <c r="I1153" s="643"/>
      <c r="J1153" s="635"/>
      <c r="K1153" s="636"/>
      <c r="L1153" s="636"/>
      <c r="M1153" s="637"/>
      <c r="N1153" s="638"/>
      <c r="O1153" s="638"/>
      <c r="P1153" s="639"/>
      <c r="Q1153" s="26"/>
      <c r="R1153" s="26"/>
      <c r="S1153" s="37"/>
    </row>
    <row r="1154" spans="3:19" x14ac:dyDescent="0.25">
      <c r="C1154" s="633">
        <v>33</v>
      </c>
      <c r="D1154" s="640" t="s">
        <v>66</v>
      </c>
      <c r="E1154" s="641"/>
      <c r="F1154" s="642"/>
      <c r="G1154" s="39" t="s">
        <v>19</v>
      </c>
      <c r="H1154" s="33">
        <v>46109</v>
      </c>
      <c r="I1154" s="643"/>
      <c r="J1154" s="635"/>
      <c r="K1154" s="636"/>
      <c r="L1154" s="636"/>
      <c r="M1154" s="637"/>
      <c r="N1154" s="638"/>
      <c r="O1154" s="638"/>
      <c r="P1154" s="639"/>
      <c r="Q1154" s="26"/>
      <c r="R1154" s="26"/>
      <c r="S1154" s="37"/>
    </row>
    <row r="1155" spans="3:19" x14ac:dyDescent="0.25">
      <c r="C1155" s="633">
        <v>33</v>
      </c>
      <c r="D1155" s="640" t="s">
        <v>66</v>
      </c>
      <c r="E1155" s="641"/>
      <c r="F1155" s="642"/>
      <c r="G1155" s="46" t="s">
        <v>13</v>
      </c>
      <c r="H1155" s="33">
        <v>46110</v>
      </c>
      <c r="I1155" s="643"/>
      <c r="J1155" s="635"/>
      <c r="K1155" s="636"/>
      <c r="L1155" s="636"/>
      <c r="M1155" s="637"/>
      <c r="N1155" s="638"/>
      <c r="O1155" s="638"/>
      <c r="P1155" s="639"/>
      <c r="Q1155" s="26"/>
      <c r="R1155" s="26"/>
      <c r="S1155" s="37"/>
    </row>
    <row r="1156" spans="3:19" x14ac:dyDescent="0.25">
      <c r="C1156" s="633">
        <v>33</v>
      </c>
      <c r="D1156" s="640" t="s">
        <v>66</v>
      </c>
      <c r="E1156" s="641"/>
      <c r="F1156" s="642"/>
      <c r="G1156" s="39" t="s">
        <v>14</v>
      </c>
      <c r="H1156" s="33">
        <v>46111</v>
      </c>
      <c r="I1156" s="643"/>
      <c r="J1156" s="635"/>
      <c r="K1156" s="636"/>
      <c r="L1156" s="636"/>
      <c r="M1156" s="637"/>
      <c r="N1156" s="638"/>
      <c r="O1156" s="638"/>
      <c r="P1156" s="639"/>
      <c r="Q1156" s="26"/>
      <c r="R1156" s="26"/>
      <c r="S1156" s="37"/>
    </row>
    <row r="1157" spans="3:19" x14ac:dyDescent="0.25">
      <c r="C1157" s="633">
        <v>33</v>
      </c>
      <c r="D1157" s="640" t="s">
        <v>66</v>
      </c>
      <c r="E1157" s="641"/>
      <c r="F1157" s="642"/>
      <c r="G1157" s="39" t="s">
        <v>15</v>
      </c>
      <c r="H1157" s="33">
        <v>46112</v>
      </c>
      <c r="I1157" s="643"/>
      <c r="J1157" s="635"/>
      <c r="K1157" s="636"/>
      <c r="L1157" s="636"/>
      <c r="M1157" s="637"/>
      <c r="N1157" s="638"/>
      <c r="O1157" s="638"/>
      <c r="P1157" s="639"/>
      <c r="Q1157" s="26"/>
      <c r="R1157" s="26"/>
      <c r="S1157" s="37"/>
    </row>
    <row r="1158" spans="3:19" x14ac:dyDescent="0.25">
      <c r="C1158" s="650"/>
      <c r="D1158" s="651"/>
      <c r="E1158" s="652"/>
      <c r="F1158" s="652"/>
      <c r="G1158" s="653"/>
      <c r="H1158" s="654"/>
      <c r="I1158" s="655" t="str">
        <f>D1130</f>
        <v xml:space="preserve">riski </v>
      </c>
      <c r="J1158" s="656" t="s">
        <v>20</v>
      </c>
      <c r="K1158" s="657"/>
      <c r="L1158" s="657"/>
      <c r="M1158" s="658">
        <f>SUM(M1127:M1157)</f>
        <v>0</v>
      </c>
      <c r="N1158" s="658">
        <f t="shared" ref="N1158:O1158" si="27">SUM(N1127:N1157)</f>
        <v>0</v>
      </c>
      <c r="O1158" s="658">
        <f t="shared" si="27"/>
        <v>0</v>
      </c>
      <c r="P1158" s="659"/>
      <c r="Q1158" s="26"/>
      <c r="R1158" s="26"/>
      <c r="S1158" s="37"/>
    </row>
    <row r="1159" spans="3:19" x14ac:dyDescent="0.2">
      <c r="C1159" s="660"/>
      <c r="D1159" s="661"/>
      <c r="E1159" s="662"/>
      <c r="F1159" s="662"/>
      <c r="G1159" s="663"/>
      <c r="H1159" s="664"/>
      <c r="I1159" s="665"/>
      <c r="J1159" s="665"/>
      <c r="K1159" s="664"/>
      <c r="L1159" s="664"/>
      <c r="M1159" s="664"/>
      <c r="N1159" s="666"/>
      <c r="O1159" s="666"/>
      <c r="P1159" s="667"/>
      <c r="Q1159" s="26"/>
      <c r="R1159" s="26"/>
      <c r="S1159" s="37"/>
    </row>
    <row r="1160" spans="3:19" x14ac:dyDescent="0.2">
      <c r="C1160" s="365" t="s">
        <v>1</v>
      </c>
      <c r="D1160" s="668" t="s">
        <v>2</v>
      </c>
      <c r="E1160" s="669" t="s">
        <v>3</v>
      </c>
      <c r="F1160" s="669" t="s">
        <v>4</v>
      </c>
      <c r="G1160" s="670" t="s">
        <v>5</v>
      </c>
      <c r="H1160" s="669" t="s">
        <v>6</v>
      </c>
      <c r="I1160" s="671" t="s">
        <v>7</v>
      </c>
      <c r="J1160" s="671" t="s">
        <v>8</v>
      </c>
      <c r="K1160" s="672"/>
      <c r="L1160" s="673"/>
      <c r="M1160" s="673" t="s">
        <v>9</v>
      </c>
      <c r="N1160" s="674" t="s">
        <v>10</v>
      </c>
      <c r="O1160" s="674" t="s">
        <v>11</v>
      </c>
      <c r="P1160" s="675"/>
      <c r="Q1160" s="26"/>
      <c r="R1160" s="26"/>
      <c r="S1160" s="37"/>
    </row>
    <row r="1161" spans="3:19" x14ac:dyDescent="0.25">
      <c r="C1161" s="633">
        <v>34</v>
      </c>
      <c r="D1161" s="640" t="s">
        <v>67</v>
      </c>
      <c r="E1161" s="641" t="s">
        <v>22</v>
      </c>
      <c r="F1161" s="642" t="s">
        <v>22</v>
      </c>
      <c r="G1161" s="32" t="s">
        <v>13</v>
      </c>
      <c r="H1161" s="33">
        <v>46082</v>
      </c>
      <c r="I1161" s="644"/>
      <c r="J1161" s="635"/>
      <c r="K1161" s="636"/>
      <c r="L1161" s="636"/>
      <c r="M1161" s="637"/>
      <c r="N1161" s="638"/>
      <c r="O1161" s="638"/>
      <c r="P1161" s="639"/>
      <c r="Q1161" s="26"/>
      <c r="R1161" s="26"/>
      <c r="S1161" s="37"/>
    </row>
    <row r="1162" spans="3:19" x14ac:dyDescent="0.25">
      <c r="C1162" s="633">
        <v>34</v>
      </c>
      <c r="D1162" s="640" t="s">
        <v>67</v>
      </c>
      <c r="E1162" s="641" t="s">
        <v>22</v>
      </c>
      <c r="F1162" s="642" t="s">
        <v>22</v>
      </c>
      <c r="G1162" s="29" t="s">
        <v>14</v>
      </c>
      <c r="H1162" s="33">
        <v>46083</v>
      </c>
      <c r="I1162" s="634">
        <v>0.30493055555555554</v>
      </c>
      <c r="J1162" s="635"/>
      <c r="K1162" s="636"/>
      <c r="L1162" s="636"/>
      <c r="M1162" s="637"/>
      <c r="N1162" s="638"/>
      <c r="O1162" s="638"/>
      <c r="P1162" s="639"/>
      <c r="Q1162" s="26"/>
      <c r="R1162" s="26"/>
      <c r="S1162" s="37"/>
    </row>
    <row r="1163" spans="3:19" x14ac:dyDescent="0.25">
      <c r="C1163" s="633">
        <v>34</v>
      </c>
      <c r="D1163" s="640" t="s">
        <v>67</v>
      </c>
      <c r="E1163" s="641" t="s">
        <v>22</v>
      </c>
      <c r="F1163" s="642" t="s">
        <v>22</v>
      </c>
      <c r="G1163" s="39" t="s">
        <v>15</v>
      </c>
      <c r="H1163" s="33">
        <v>46084</v>
      </c>
      <c r="I1163" s="643">
        <v>0.3099189814814815</v>
      </c>
      <c r="J1163" s="635">
        <v>0.70958333333333334</v>
      </c>
      <c r="K1163" s="636"/>
      <c r="L1163" s="636"/>
      <c r="M1163" s="637"/>
      <c r="N1163" s="638"/>
      <c r="O1163" s="638"/>
      <c r="P1163" s="639"/>
      <c r="Q1163" s="26"/>
      <c r="R1163" s="26"/>
      <c r="S1163" s="37"/>
    </row>
    <row r="1164" spans="3:19" x14ac:dyDescent="0.25">
      <c r="C1164" s="633">
        <v>34</v>
      </c>
      <c r="D1164" s="640" t="s">
        <v>67</v>
      </c>
      <c r="E1164" s="641" t="s">
        <v>22</v>
      </c>
      <c r="F1164" s="642" t="s">
        <v>22</v>
      </c>
      <c r="G1164" s="39" t="s">
        <v>16</v>
      </c>
      <c r="H1164" s="33">
        <v>46085</v>
      </c>
      <c r="I1164" s="643">
        <v>0.30989583333333331</v>
      </c>
      <c r="J1164" s="635">
        <v>0.70854166666666663</v>
      </c>
      <c r="K1164" s="636"/>
      <c r="L1164" s="636"/>
      <c r="M1164" s="637"/>
      <c r="N1164" s="638"/>
      <c r="O1164" s="638"/>
      <c r="P1164" s="639"/>
      <c r="Q1164" s="26"/>
      <c r="R1164" s="26"/>
      <c r="S1164" s="37"/>
    </row>
    <row r="1165" spans="3:19" x14ac:dyDescent="0.25">
      <c r="C1165" s="633">
        <v>34</v>
      </c>
      <c r="D1165" s="640" t="s">
        <v>67</v>
      </c>
      <c r="E1165" s="641" t="s">
        <v>22</v>
      </c>
      <c r="F1165" s="642" t="s">
        <v>22</v>
      </c>
      <c r="G1165" s="39" t="s">
        <v>17</v>
      </c>
      <c r="H1165" s="33">
        <v>46086</v>
      </c>
      <c r="I1165" s="643">
        <v>0.31140046296296298</v>
      </c>
      <c r="J1165" s="635">
        <v>0.70848379629629632</v>
      </c>
      <c r="K1165" s="636"/>
      <c r="L1165" s="636"/>
      <c r="M1165" s="637"/>
      <c r="N1165" s="638"/>
      <c r="O1165" s="638"/>
      <c r="P1165" s="639"/>
      <c r="Q1165" s="26"/>
      <c r="R1165" s="26"/>
      <c r="S1165" s="37"/>
    </row>
    <row r="1166" spans="3:19" x14ac:dyDescent="0.25">
      <c r="C1166" s="633">
        <v>34</v>
      </c>
      <c r="D1166" s="640" t="s">
        <v>67</v>
      </c>
      <c r="E1166" s="641" t="s">
        <v>22</v>
      </c>
      <c r="F1166" s="642" t="s">
        <v>22</v>
      </c>
      <c r="G1166" s="45" t="s">
        <v>18</v>
      </c>
      <c r="H1166" s="33">
        <v>46087</v>
      </c>
      <c r="I1166" s="643">
        <v>0.31090277777777781</v>
      </c>
      <c r="J1166" s="635">
        <v>0.70884259259259252</v>
      </c>
      <c r="K1166" s="636"/>
      <c r="L1166" s="636"/>
      <c r="M1166" s="637"/>
      <c r="N1166" s="638"/>
      <c r="O1166" s="638"/>
      <c r="P1166" s="639"/>
      <c r="Q1166" s="26"/>
      <c r="R1166" s="26"/>
      <c r="S1166" s="37"/>
    </row>
    <row r="1167" spans="3:19" x14ac:dyDescent="0.25">
      <c r="C1167" s="633">
        <v>34</v>
      </c>
      <c r="D1167" s="640" t="s">
        <v>67</v>
      </c>
      <c r="E1167" s="641" t="s">
        <v>22</v>
      </c>
      <c r="F1167" s="642" t="s">
        <v>22</v>
      </c>
      <c r="G1167" s="39" t="s">
        <v>19</v>
      </c>
      <c r="H1167" s="33">
        <v>46088</v>
      </c>
      <c r="I1167" s="643">
        <v>0.31114583333333334</v>
      </c>
      <c r="J1167" s="635">
        <v>0.54254629629629625</v>
      </c>
      <c r="K1167" s="636"/>
      <c r="L1167" s="636"/>
      <c r="M1167" s="637"/>
      <c r="N1167" s="638"/>
      <c r="O1167" s="638"/>
      <c r="P1167" s="639"/>
      <c r="Q1167" s="26"/>
      <c r="R1167" s="26"/>
      <c r="S1167" s="37"/>
    </row>
    <row r="1168" spans="3:19" x14ac:dyDescent="0.25">
      <c r="C1168" s="633">
        <v>34</v>
      </c>
      <c r="D1168" s="640" t="s">
        <v>67</v>
      </c>
      <c r="E1168" s="641" t="s">
        <v>22</v>
      </c>
      <c r="F1168" s="642" t="s">
        <v>22</v>
      </c>
      <c r="G1168" s="46" t="s">
        <v>13</v>
      </c>
      <c r="H1168" s="33">
        <v>46089</v>
      </c>
      <c r="I1168" s="644"/>
      <c r="K1168" s="636"/>
      <c r="L1168" s="636"/>
      <c r="M1168" s="637"/>
      <c r="N1168" s="638"/>
      <c r="O1168" s="638"/>
      <c r="P1168" s="639"/>
      <c r="Q1168" s="26"/>
      <c r="R1168" s="26"/>
      <c r="S1168" s="37"/>
    </row>
    <row r="1169" spans="3:19" x14ac:dyDescent="0.25">
      <c r="C1169" s="633">
        <v>34</v>
      </c>
      <c r="D1169" s="640" t="s">
        <v>67</v>
      </c>
      <c r="E1169" s="641" t="s">
        <v>22</v>
      </c>
      <c r="F1169" s="642" t="s">
        <v>22</v>
      </c>
      <c r="G1169" s="39" t="s">
        <v>14</v>
      </c>
      <c r="H1169" s="33">
        <v>46090</v>
      </c>
      <c r="I1169" s="5">
        <v>0.31640046296296293</v>
      </c>
      <c r="J1169" s="643">
        <v>0.70854166666666663</v>
      </c>
      <c r="K1169" s="636"/>
      <c r="L1169" s="636"/>
      <c r="M1169" s="637"/>
      <c r="N1169" s="638"/>
      <c r="O1169" s="638"/>
      <c r="P1169" s="639"/>
      <c r="Q1169" s="26"/>
      <c r="R1169" s="26"/>
      <c r="S1169" s="37"/>
    </row>
    <row r="1170" spans="3:19" x14ac:dyDescent="0.25">
      <c r="C1170" s="633">
        <v>34</v>
      </c>
      <c r="D1170" s="640" t="s">
        <v>67</v>
      </c>
      <c r="E1170" s="641" t="s">
        <v>22</v>
      </c>
      <c r="F1170" s="642" t="s">
        <v>22</v>
      </c>
      <c r="G1170" s="39" t="s">
        <v>15</v>
      </c>
      <c r="H1170" s="33">
        <v>46091</v>
      </c>
      <c r="I1170" s="634">
        <v>0.30678240740740742</v>
      </c>
      <c r="J1170" s="635">
        <v>0.70864583333333331</v>
      </c>
      <c r="K1170" s="636"/>
      <c r="L1170" s="636"/>
      <c r="M1170" s="637"/>
      <c r="N1170" s="638"/>
      <c r="O1170" s="638"/>
      <c r="P1170" s="639"/>
      <c r="Q1170" s="26"/>
      <c r="R1170" s="26"/>
      <c r="S1170" s="37"/>
    </row>
    <row r="1171" spans="3:19" x14ac:dyDescent="0.25">
      <c r="C1171" s="633">
        <v>34</v>
      </c>
      <c r="D1171" s="640" t="s">
        <v>67</v>
      </c>
      <c r="E1171" s="641" t="s">
        <v>22</v>
      </c>
      <c r="F1171" s="642" t="s">
        <v>22</v>
      </c>
      <c r="G1171" s="39" t="s">
        <v>16</v>
      </c>
      <c r="H1171" s="33">
        <v>46092</v>
      </c>
      <c r="I1171" s="634">
        <v>0.30494212962962963</v>
      </c>
      <c r="J1171" s="635">
        <v>0.70869212962962969</v>
      </c>
      <c r="K1171" s="636"/>
      <c r="L1171" s="636"/>
      <c r="M1171" s="637"/>
      <c r="N1171" s="638"/>
      <c r="O1171" s="638"/>
      <c r="P1171" s="639"/>
      <c r="Q1171" s="26"/>
      <c r="R1171" s="26"/>
      <c r="S1171" s="37"/>
    </row>
    <row r="1172" spans="3:19" x14ac:dyDescent="0.25">
      <c r="C1172" s="633">
        <v>34</v>
      </c>
      <c r="D1172" s="640" t="s">
        <v>67</v>
      </c>
      <c r="E1172" s="641" t="s">
        <v>22</v>
      </c>
      <c r="F1172" s="642" t="s">
        <v>22</v>
      </c>
      <c r="G1172" s="39" t="s">
        <v>17</v>
      </c>
      <c r="H1172" s="33">
        <v>46093</v>
      </c>
      <c r="I1172" s="634">
        <v>0.29684027777777777</v>
      </c>
      <c r="J1172" s="635">
        <v>0.70855324074074078</v>
      </c>
      <c r="K1172" s="636"/>
      <c r="L1172" s="636"/>
      <c r="M1172" s="637"/>
      <c r="N1172" s="638"/>
      <c r="O1172" s="638"/>
      <c r="P1172" s="639"/>
      <c r="Q1172" s="26"/>
      <c r="R1172" s="26"/>
      <c r="S1172" s="37"/>
    </row>
    <row r="1173" spans="3:19" x14ac:dyDescent="0.25">
      <c r="C1173" s="633">
        <v>34</v>
      </c>
      <c r="D1173" s="640" t="s">
        <v>67</v>
      </c>
      <c r="E1173" s="641" t="s">
        <v>22</v>
      </c>
      <c r="F1173" s="642" t="s">
        <v>22</v>
      </c>
      <c r="G1173" s="48" t="s">
        <v>18</v>
      </c>
      <c r="H1173" s="33">
        <v>46094</v>
      </c>
      <c r="I1173" s="634">
        <v>0.30505787037037035</v>
      </c>
      <c r="J1173" s="635">
        <v>0.70887731481481486</v>
      </c>
      <c r="K1173" s="636"/>
      <c r="L1173" s="636"/>
      <c r="M1173" s="637"/>
      <c r="N1173" s="638"/>
      <c r="O1173" s="638"/>
      <c r="P1173" s="639"/>
      <c r="Q1173" s="26"/>
      <c r="R1173" s="26"/>
      <c r="S1173" s="37"/>
    </row>
    <row r="1174" spans="3:19" x14ac:dyDescent="0.25">
      <c r="C1174" s="633">
        <v>34</v>
      </c>
      <c r="D1174" s="640" t="s">
        <v>67</v>
      </c>
      <c r="E1174" s="641" t="s">
        <v>22</v>
      </c>
      <c r="F1174" s="642" t="s">
        <v>22</v>
      </c>
      <c r="G1174" s="39" t="s">
        <v>19</v>
      </c>
      <c r="H1174" s="33">
        <v>46095</v>
      </c>
      <c r="I1174" s="634">
        <v>0.32836805555555554</v>
      </c>
      <c r="J1174" s="635"/>
      <c r="K1174" s="636"/>
      <c r="L1174" s="636"/>
      <c r="M1174" s="637"/>
      <c r="N1174" s="638"/>
      <c r="O1174" s="638"/>
      <c r="P1174" s="639"/>
      <c r="Q1174" s="26"/>
      <c r="R1174" s="26"/>
      <c r="S1174" s="37"/>
    </row>
    <row r="1175" spans="3:19" x14ac:dyDescent="0.25">
      <c r="C1175" s="633">
        <v>34</v>
      </c>
      <c r="D1175" s="640" t="s">
        <v>67</v>
      </c>
      <c r="E1175" s="641" t="s">
        <v>22</v>
      </c>
      <c r="F1175" s="642" t="s">
        <v>22</v>
      </c>
      <c r="G1175" s="46" t="s">
        <v>13</v>
      </c>
      <c r="H1175" s="33">
        <v>46096</v>
      </c>
      <c r="I1175" s="634"/>
      <c r="J1175" s="635"/>
      <c r="K1175" s="636"/>
      <c r="L1175" s="636"/>
      <c r="M1175" s="637"/>
      <c r="N1175" s="638"/>
      <c r="O1175" s="638"/>
      <c r="P1175" s="44"/>
      <c r="Q1175" s="26"/>
      <c r="R1175" s="26"/>
      <c r="S1175" s="37"/>
    </row>
    <row r="1176" spans="3:19" x14ac:dyDescent="0.25">
      <c r="C1176" s="633">
        <v>34</v>
      </c>
      <c r="D1176" s="640" t="s">
        <v>67</v>
      </c>
      <c r="E1176" s="641" t="s">
        <v>22</v>
      </c>
      <c r="F1176" s="642" t="s">
        <v>22</v>
      </c>
      <c r="G1176" s="39" t="s">
        <v>14</v>
      </c>
      <c r="H1176" s="33">
        <v>46097</v>
      </c>
      <c r="I1176" s="634"/>
      <c r="J1176" s="635"/>
      <c r="K1176" s="636"/>
      <c r="L1176" s="636"/>
      <c r="M1176" s="637"/>
      <c r="N1176" s="638"/>
      <c r="O1176" s="638"/>
      <c r="P1176" s="639"/>
      <c r="Q1176" s="26"/>
      <c r="R1176" s="26"/>
      <c r="S1176" s="37"/>
    </row>
    <row r="1177" spans="3:19" x14ac:dyDescent="0.25">
      <c r="C1177" s="633">
        <v>34</v>
      </c>
      <c r="D1177" s="640" t="s">
        <v>67</v>
      </c>
      <c r="E1177" s="641" t="s">
        <v>22</v>
      </c>
      <c r="F1177" s="642" t="s">
        <v>22</v>
      </c>
      <c r="G1177" s="39" t="s">
        <v>15</v>
      </c>
      <c r="H1177" s="33">
        <v>46098</v>
      </c>
      <c r="I1177" s="634"/>
      <c r="J1177" s="635"/>
      <c r="K1177" s="636"/>
      <c r="L1177" s="636"/>
      <c r="M1177" s="637"/>
      <c r="N1177" s="638"/>
      <c r="O1177" s="638"/>
      <c r="P1177" s="639"/>
      <c r="Q1177" s="26"/>
      <c r="R1177" s="26"/>
      <c r="S1177" s="37"/>
    </row>
    <row r="1178" spans="3:19" x14ac:dyDescent="0.25">
      <c r="C1178" s="633">
        <v>34</v>
      </c>
      <c r="D1178" s="640" t="s">
        <v>67</v>
      </c>
      <c r="E1178" s="641" t="s">
        <v>22</v>
      </c>
      <c r="F1178" s="642" t="s">
        <v>22</v>
      </c>
      <c r="G1178" s="39" t="s">
        <v>16</v>
      </c>
      <c r="H1178" s="33">
        <v>46099</v>
      </c>
      <c r="I1178" s="634"/>
      <c r="J1178" s="635"/>
      <c r="K1178" s="636"/>
      <c r="L1178" s="636"/>
      <c r="M1178" s="637"/>
      <c r="N1178" s="638"/>
      <c r="O1178" s="638"/>
      <c r="P1178" s="639"/>
      <c r="Q1178" s="26"/>
      <c r="R1178" s="26"/>
      <c r="S1178" s="37"/>
    </row>
    <row r="1179" spans="3:19" x14ac:dyDescent="0.25">
      <c r="C1179" s="633">
        <v>34</v>
      </c>
      <c r="D1179" s="640" t="s">
        <v>67</v>
      </c>
      <c r="E1179" s="641" t="s">
        <v>22</v>
      </c>
      <c r="F1179" s="642" t="s">
        <v>22</v>
      </c>
      <c r="G1179" s="39" t="s">
        <v>17</v>
      </c>
      <c r="H1179" s="33">
        <v>46100</v>
      </c>
      <c r="I1179" s="634"/>
      <c r="J1179" s="635"/>
      <c r="K1179" s="636"/>
      <c r="L1179" s="636"/>
      <c r="M1179" s="637"/>
      <c r="N1179" s="638"/>
      <c r="O1179" s="638"/>
      <c r="P1179" s="639"/>
      <c r="Q1179" s="26"/>
      <c r="R1179" s="26"/>
      <c r="S1179" s="37"/>
    </row>
    <row r="1180" spans="3:19" x14ac:dyDescent="0.25">
      <c r="C1180" s="633">
        <v>34</v>
      </c>
      <c r="D1180" s="640" t="s">
        <v>67</v>
      </c>
      <c r="E1180" s="641" t="s">
        <v>22</v>
      </c>
      <c r="F1180" s="642" t="s">
        <v>22</v>
      </c>
      <c r="G1180" s="39" t="s">
        <v>18</v>
      </c>
      <c r="H1180" s="33">
        <v>46101</v>
      </c>
      <c r="I1180" s="634"/>
      <c r="J1180" s="635"/>
      <c r="K1180" s="636"/>
      <c r="L1180" s="636"/>
      <c r="M1180" s="637"/>
      <c r="N1180" s="638"/>
      <c r="O1180" s="638"/>
      <c r="P1180" s="639"/>
      <c r="Q1180" s="26"/>
      <c r="R1180" s="26"/>
      <c r="S1180" s="37"/>
    </row>
    <row r="1181" spans="3:19" x14ac:dyDescent="0.25">
      <c r="C1181" s="633">
        <v>34</v>
      </c>
      <c r="D1181" s="640" t="s">
        <v>67</v>
      </c>
      <c r="E1181" s="641" t="s">
        <v>22</v>
      </c>
      <c r="F1181" s="642" t="s">
        <v>22</v>
      </c>
      <c r="G1181" s="39" t="s">
        <v>19</v>
      </c>
      <c r="H1181" s="33">
        <v>46102</v>
      </c>
      <c r="I1181" s="634"/>
      <c r="J1181" s="635"/>
      <c r="K1181" s="636"/>
      <c r="L1181" s="636"/>
      <c r="M1181" s="637"/>
      <c r="N1181" s="638"/>
      <c r="O1181" s="638"/>
      <c r="P1181" s="639"/>
      <c r="Q1181" s="26"/>
      <c r="R1181" s="26"/>
      <c r="S1181" s="37"/>
    </row>
    <row r="1182" spans="3:19" x14ac:dyDescent="0.25">
      <c r="C1182" s="633">
        <v>34</v>
      </c>
      <c r="D1182" s="640" t="s">
        <v>67</v>
      </c>
      <c r="E1182" s="641" t="s">
        <v>22</v>
      </c>
      <c r="F1182" s="642" t="s">
        <v>22</v>
      </c>
      <c r="G1182" s="46" t="s">
        <v>13</v>
      </c>
      <c r="H1182" s="33">
        <v>46103</v>
      </c>
      <c r="I1182" s="634"/>
      <c r="J1182" s="635"/>
      <c r="K1182" s="636"/>
      <c r="L1182" s="636"/>
      <c r="M1182" s="637"/>
      <c r="N1182" s="638"/>
      <c r="O1182" s="638"/>
      <c r="P1182" s="639"/>
      <c r="Q1182" s="26"/>
      <c r="R1182" s="26"/>
      <c r="S1182" s="37"/>
    </row>
    <row r="1183" spans="3:19" x14ac:dyDescent="0.25">
      <c r="C1183" s="633">
        <v>34</v>
      </c>
      <c r="D1183" s="640" t="s">
        <v>67</v>
      </c>
      <c r="E1183" s="641" t="s">
        <v>22</v>
      </c>
      <c r="F1183" s="642" t="s">
        <v>22</v>
      </c>
      <c r="G1183" s="39" t="s">
        <v>14</v>
      </c>
      <c r="H1183" s="33">
        <v>46104</v>
      </c>
      <c r="I1183" s="634"/>
      <c r="J1183" s="635"/>
      <c r="K1183" s="636"/>
      <c r="L1183" s="636"/>
      <c r="M1183" s="637"/>
      <c r="N1183" s="638"/>
      <c r="O1183" s="638"/>
      <c r="P1183" s="639"/>
      <c r="Q1183" s="26"/>
      <c r="R1183" s="26"/>
      <c r="S1183" s="37"/>
    </row>
    <row r="1184" spans="3:19" x14ac:dyDescent="0.25">
      <c r="C1184" s="633">
        <v>34</v>
      </c>
      <c r="D1184" s="640" t="s">
        <v>67</v>
      </c>
      <c r="E1184" s="641" t="s">
        <v>22</v>
      </c>
      <c r="F1184" s="642" t="s">
        <v>22</v>
      </c>
      <c r="G1184" s="39" t="s">
        <v>15</v>
      </c>
      <c r="H1184" s="33">
        <v>46105</v>
      </c>
      <c r="I1184" s="634"/>
      <c r="J1184" s="635"/>
      <c r="K1184" s="636"/>
      <c r="L1184" s="636"/>
      <c r="M1184" s="637"/>
      <c r="N1184" s="638"/>
      <c r="O1184" s="638"/>
      <c r="P1184" s="639"/>
      <c r="Q1184" s="26"/>
      <c r="R1184" s="26"/>
      <c r="S1184" s="37"/>
    </row>
    <row r="1185" spans="3:19" x14ac:dyDescent="0.25">
      <c r="C1185" s="633">
        <v>34</v>
      </c>
      <c r="D1185" s="640" t="s">
        <v>67</v>
      </c>
      <c r="E1185" s="641"/>
      <c r="F1185" s="642"/>
      <c r="G1185" s="39" t="s">
        <v>16</v>
      </c>
      <c r="H1185" s="33">
        <v>46106</v>
      </c>
      <c r="I1185" s="634"/>
      <c r="J1185" s="635"/>
      <c r="K1185" s="636"/>
      <c r="L1185" s="636"/>
      <c r="M1185" s="637"/>
      <c r="N1185" s="638"/>
      <c r="O1185" s="638"/>
      <c r="P1185" s="639"/>
      <c r="Q1185" s="26"/>
      <c r="R1185" s="26"/>
      <c r="S1185" s="37"/>
    </row>
    <row r="1186" spans="3:19" x14ac:dyDescent="0.25">
      <c r="C1186" s="633">
        <v>34</v>
      </c>
      <c r="D1186" s="640" t="s">
        <v>67</v>
      </c>
      <c r="E1186" s="641"/>
      <c r="F1186" s="642"/>
      <c r="G1186" s="39" t="s">
        <v>17</v>
      </c>
      <c r="H1186" s="33">
        <v>46107</v>
      </c>
      <c r="I1186" s="634"/>
      <c r="J1186" s="635"/>
      <c r="K1186" s="636"/>
      <c r="L1186" s="636"/>
      <c r="M1186" s="637"/>
      <c r="N1186" s="638"/>
      <c r="O1186" s="638"/>
      <c r="P1186" s="639"/>
      <c r="Q1186" s="26"/>
      <c r="R1186" s="26"/>
      <c r="S1186" s="37"/>
    </row>
    <row r="1187" spans="3:19" x14ac:dyDescent="0.25">
      <c r="C1187" s="633">
        <v>34</v>
      </c>
      <c r="D1187" s="640" t="s">
        <v>67</v>
      </c>
      <c r="E1187" s="641"/>
      <c r="F1187" s="642"/>
      <c r="G1187" s="39" t="s">
        <v>18</v>
      </c>
      <c r="H1187" s="33">
        <v>46108</v>
      </c>
      <c r="I1187" s="634"/>
      <c r="J1187" s="635"/>
      <c r="K1187" s="636"/>
      <c r="L1187" s="636"/>
      <c r="M1187" s="637"/>
      <c r="N1187" s="638"/>
      <c r="O1187" s="638"/>
      <c r="P1187" s="639"/>
      <c r="Q1187" s="26"/>
      <c r="R1187" s="26"/>
      <c r="S1187" s="37"/>
    </row>
    <row r="1188" spans="3:19" x14ac:dyDescent="0.25">
      <c r="C1188" s="633">
        <v>34</v>
      </c>
      <c r="D1188" s="640" t="s">
        <v>67</v>
      </c>
      <c r="E1188" s="641"/>
      <c r="F1188" s="642"/>
      <c r="G1188" s="39" t="s">
        <v>19</v>
      </c>
      <c r="H1188" s="33">
        <v>46109</v>
      </c>
      <c r="I1188" s="634"/>
      <c r="J1188" s="635"/>
      <c r="K1188" s="636"/>
      <c r="L1188" s="636"/>
      <c r="M1188" s="637"/>
      <c r="N1188" s="638"/>
      <c r="O1188" s="638"/>
      <c r="P1188" s="639"/>
      <c r="Q1188" s="26"/>
      <c r="R1188" s="26"/>
      <c r="S1188" s="37"/>
    </row>
    <row r="1189" spans="3:19" x14ac:dyDescent="0.25">
      <c r="C1189" s="633">
        <v>34</v>
      </c>
      <c r="D1189" s="640" t="s">
        <v>67</v>
      </c>
      <c r="E1189" s="641"/>
      <c r="F1189" s="642"/>
      <c r="G1189" s="46" t="s">
        <v>13</v>
      </c>
      <c r="H1189" s="33">
        <v>46110</v>
      </c>
      <c r="I1189" s="634"/>
      <c r="J1189" s="635"/>
      <c r="K1189" s="636"/>
      <c r="L1189" s="636"/>
      <c r="M1189" s="637"/>
      <c r="N1189" s="638"/>
      <c r="O1189" s="638"/>
      <c r="P1189" s="639"/>
      <c r="Q1189" s="26"/>
      <c r="R1189" s="26"/>
      <c r="S1189" s="37"/>
    </row>
    <row r="1190" spans="3:19" x14ac:dyDescent="0.25">
      <c r="C1190" s="633">
        <v>34</v>
      </c>
      <c r="D1190" s="640" t="s">
        <v>67</v>
      </c>
      <c r="E1190" s="641"/>
      <c r="F1190" s="642"/>
      <c r="G1190" s="39" t="s">
        <v>14</v>
      </c>
      <c r="H1190" s="33">
        <v>46111</v>
      </c>
      <c r="I1190" s="634"/>
      <c r="J1190" s="635"/>
      <c r="K1190" s="636"/>
      <c r="L1190" s="636"/>
      <c r="M1190" s="637"/>
      <c r="N1190" s="638"/>
      <c r="O1190" s="638"/>
      <c r="P1190" s="639"/>
      <c r="Q1190"/>
      <c r="R1190" s="26"/>
      <c r="S1190" s="37"/>
    </row>
    <row r="1191" spans="3:19" x14ac:dyDescent="0.25">
      <c r="C1191" s="633">
        <v>34</v>
      </c>
      <c r="D1191" s="640" t="s">
        <v>67</v>
      </c>
      <c r="E1191" s="641"/>
      <c r="F1191" s="642"/>
      <c r="G1191" s="39" t="s">
        <v>15</v>
      </c>
      <c r="H1191" s="33">
        <v>46112</v>
      </c>
      <c r="I1191" s="634"/>
      <c r="J1191" s="635"/>
      <c r="K1191" s="636"/>
      <c r="L1191" s="636"/>
      <c r="M1191" s="637"/>
      <c r="N1191" s="638"/>
      <c r="O1191" s="638"/>
      <c r="P1191" s="639"/>
      <c r="Q1191" s="26"/>
      <c r="R1191" s="26"/>
      <c r="S1191" s="37"/>
    </row>
    <row r="1192" spans="3:19" x14ac:dyDescent="0.25">
      <c r="C1192" s="650"/>
      <c r="D1192" s="651"/>
      <c r="E1192" s="652"/>
      <c r="F1192" s="652"/>
      <c r="G1192" s="653"/>
      <c r="H1192" s="654"/>
      <c r="I1192" s="655" t="str">
        <f>D1164</f>
        <v>AGUNG WIRECUT</v>
      </c>
      <c r="J1192" s="656" t="s">
        <v>20</v>
      </c>
      <c r="K1192" s="657"/>
      <c r="L1192" s="657"/>
      <c r="M1192" s="658">
        <f>SUM(M1161:M1191)</f>
        <v>0</v>
      </c>
      <c r="N1192" s="658">
        <f t="shared" ref="N1192:O1192" si="28">SUM(N1161:N1191)</f>
        <v>0</v>
      </c>
      <c r="O1192" s="658">
        <f t="shared" si="28"/>
        <v>0</v>
      </c>
      <c r="P1192" s="659"/>
      <c r="Q1192" s="26"/>
      <c r="R1192" s="26"/>
      <c r="S1192" s="37"/>
    </row>
    <row r="1193" spans="3:19" x14ac:dyDescent="0.2">
      <c r="C1193"/>
      <c r="D1193"/>
      <c r="E1193"/>
      <c r="F1193"/>
      <c r="G1193"/>
      <c r="H1193"/>
      <c r="I1193" s="676"/>
      <c r="J1193" s="676"/>
      <c r="K1193"/>
      <c r="L1193"/>
      <c r="M1193"/>
      <c r="N1193"/>
      <c r="O1193"/>
      <c r="P1193"/>
      <c r="Q1193" s="26"/>
      <c r="R1193" s="26"/>
      <c r="S1193" s="37"/>
    </row>
    <row r="1194" spans="3:19" x14ac:dyDescent="0.2">
      <c r="C1194"/>
      <c r="D1194"/>
      <c r="E1194"/>
      <c r="F1194"/>
      <c r="G1194"/>
      <c r="H1194"/>
      <c r="I1194" s="676"/>
      <c r="J1194" s="676"/>
      <c r="K1194"/>
      <c r="L1194"/>
      <c r="M1194"/>
      <c r="N1194"/>
      <c r="O1194"/>
      <c r="P1194"/>
      <c r="Q1194" s="26"/>
      <c r="R1194" s="26"/>
      <c r="S1194" s="37"/>
    </row>
    <row r="1195" spans="3:19" x14ac:dyDescent="0.2">
      <c r="C1195"/>
      <c r="D1195"/>
      <c r="E1195"/>
      <c r="F1195"/>
      <c r="G1195"/>
      <c r="H1195"/>
      <c r="I1195" s="676"/>
      <c r="J1195" s="676"/>
      <c r="K1195"/>
      <c r="L1195"/>
      <c r="M1195"/>
      <c r="N1195"/>
      <c r="O1195"/>
      <c r="P1195"/>
      <c r="Q1195" s="26"/>
      <c r="R1195" s="26"/>
      <c r="S1195" s="37"/>
    </row>
    <row r="1196" spans="3:19" x14ac:dyDescent="0.25">
      <c r="C1196" s="365" t="s">
        <v>1</v>
      </c>
      <c r="D1196" s="668" t="s">
        <v>2</v>
      </c>
      <c r="E1196" s="669" t="s">
        <v>3</v>
      </c>
      <c r="F1196" s="669" t="s">
        <v>4</v>
      </c>
      <c r="G1196" s="670" t="s">
        <v>5</v>
      </c>
      <c r="H1196" s="669" t="s">
        <v>6</v>
      </c>
      <c r="I1196" s="671" t="s">
        <v>7</v>
      </c>
      <c r="J1196" s="671" t="s">
        <v>8</v>
      </c>
      <c r="K1196" s="672"/>
      <c r="L1196" s="673"/>
      <c r="M1196" s="673" t="s">
        <v>9</v>
      </c>
      <c r="N1196" s="674" t="s">
        <v>10</v>
      </c>
      <c r="O1196" s="674" t="s">
        <v>11</v>
      </c>
      <c r="P1196" s="659"/>
      <c r="Q1196" s="26"/>
      <c r="R1196" s="26"/>
      <c r="S1196" s="37"/>
    </row>
    <row r="1197" spans="3:19" x14ac:dyDescent="0.25">
      <c r="C1197" s="677">
        <v>35</v>
      </c>
      <c r="D1197" s="678" t="s">
        <v>68</v>
      </c>
      <c r="E1197" s="679" t="s">
        <v>22</v>
      </c>
      <c r="F1197" s="680" t="s">
        <v>22</v>
      </c>
      <c r="G1197" s="32" t="s">
        <v>13</v>
      </c>
      <c r="H1197" s="33">
        <v>46082</v>
      </c>
      <c r="I1197" s="644"/>
      <c r="J1197" s="635"/>
      <c r="K1197" s="636"/>
      <c r="L1197" s="636"/>
      <c r="M1197" s="637"/>
      <c r="N1197" s="638"/>
      <c r="O1197" s="638"/>
      <c r="P1197" s="639"/>
      <c r="Q1197" s="26"/>
      <c r="R1197" s="26"/>
      <c r="S1197" s="37"/>
    </row>
    <row r="1198" spans="3:19" x14ac:dyDescent="0.25">
      <c r="C1198" s="677">
        <v>35</v>
      </c>
      <c r="D1198" s="678" t="s">
        <v>68</v>
      </c>
      <c r="E1198" s="679" t="s">
        <v>22</v>
      </c>
      <c r="F1198" s="680" t="s">
        <v>22</v>
      </c>
      <c r="G1198" s="29" t="s">
        <v>14</v>
      </c>
      <c r="H1198" s="33">
        <v>46083</v>
      </c>
      <c r="I1198" s="634">
        <v>0.28531250000000002</v>
      </c>
      <c r="J1198" s="635"/>
      <c r="K1198" s="636"/>
      <c r="L1198" s="636"/>
      <c r="M1198" s="637"/>
      <c r="N1198" s="638"/>
      <c r="O1198" s="638"/>
      <c r="P1198" s="639"/>
      <c r="Q1198" s="26"/>
      <c r="R1198" s="26"/>
      <c r="S1198" s="37"/>
    </row>
    <row r="1199" spans="3:19" x14ac:dyDescent="0.25">
      <c r="C1199" s="677">
        <v>35</v>
      </c>
      <c r="D1199" s="678" t="s">
        <v>68</v>
      </c>
      <c r="E1199" s="679" t="s">
        <v>22</v>
      </c>
      <c r="F1199" s="680" t="s">
        <v>22</v>
      </c>
      <c r="G1199" s="39" t="s">
        <v>15</v>
      </c>
      <c r="H1199" s="33">
        <v>46084</v>
      </c>
      <c r="I1199" s="643">
        <v>0.29192129629629632</v>
      </c>
      <c r="J1199" s="635">
        <v>0.70886574074074071</v>
      </c>
      <c r="K1199" s="636"/>
      <c r="L1199" s="636"/>
      <c r="M1199" s="637"/>
      <c r="N1199" s="638"/>
      <c r="O1199" s="638"/>
      <c r="P1199" s="639"/>
      <c r="Q1199" s="26"/>
      <c r="R1199" s="26"/>
      <c r="S1199" s="37"/>
    </row>
    <row r="1200" spans="3:19" x14ac:dyDescent="0.25">
      <c r="C1200" s="677">
        <v>35</v>
      </c>
      <c r="D1200" s="678" t="s">
        <v>68</v>
      </c>
      <c r="E1200" s="679" t="s">
        <v>22</v>
      </c>
      <c r="F1200" s="680" t="s">
        <v>22</v>
      </c>
      <c r="G1200" s="39" t="s">
        <v>16</v>
      </c>
      <c r="H1200" s="33">
        <v>46085</v>
      </c>
      <c r="I1200" s="643">
        <v>0.2817824074074074</v>
      </c>
      <c r="J1200" s="635">
        <v>0.71315972222222224</v>
      </c>
      <c r="K1200" s="636"/>
      <c r="L1200" s="636"/>
      <c r="M1200" s="637"/>
      <c r="N1200" s="638"/>
      <c r="O1200" s="638"/>
      <c r="P1200" s="639"/>
      <c r="Q1200" s="26"/>
      <c r="R1200" s="26"/>
      <c r="S1200" s="37"/>
    </row>
    <row r="1201" spans="3:19" x14ac:dyDescent="0.25">
      <c r="C1201" s="677">
        <v>35</v>
      </c>
      <c r="D1201" s="678" t="s">
        <v>68</v>
      </c>
      <c r="E1201" s="679" t="s">
        <v>22</v>
      </c>
      <c r="F1201" s="680" t="s">
        <v>22</v>
      </c>
      <c r="G1201" s="39" t="s">
        <v>17</v>
      </c>
      <c r="H1201" s="33">
        <v>46086</v>
      </c>
      <c r="I1201" s="643">
        <v>0.2883101851851852</v>
      </c>
      <c r="J1201" s="635">
        <v>0.70903935185185185</v>
      </c>
      <c r="K1201" s="636"/>
      <c r="L1201" s="636"/>
      <c r="M1201" s="637"/>
      <c r="N1201" s="638"/>
      <c r="O1201" s="638"/>
      <c r="P1201" s="639"/>
      <c r="Q1201" s="26"/>
      <c r="R1201" s="26"/>
      <c r="S1201" s="37"/>
    </row>
    <row r="1202" spans="3:19" x14ac:dyDescent="0.25">
      <c r="C1202" s="677">
        <v>35</v>
      </c>
      <c r="D1202" s="678" t="s">
        <v>68</v>
      </c>
      <c r="E1202" s="641" t="s">
        <v>22</v>
      </c>
      <c r="F1202" s="642" t="s">
        <v>22</v>
      </c>
      <c r="G1202" s="45" t="s">
        <v>18</v>
      </c>
      <c r="H1202" s="33">
        <v>46087</v>
      </c>
      <c r="I1202" s="643">
        <v>0.28667824074074072</v>
      </c>
      <c r="J1202" s="635"/>
      <c r="K1202" s="636"/>
      <c r="L1202" s="636"/>
      <c r="M1202" s="637"/>
      <c r="N1202" s="638"/>
      <c r="O1202" s="638"/>
      <c r="P1202" s="639"/>
      <c r="Q1202" s="26"/>
      <c r="R1202" s="26"/>
      <c r="S1202" s="37"/>
    </row>
    <row r="1203" spans="3:19" x14ac:dyDescent="0.25">
      <c r="C1203" s="677">
        <v>35</v>
      </c>
      <c r="D1203" s="678" t="s">
        <v>68</v>
      </c>
      <c r="E1203" s="641" t="s">
        <v>22</v>
      </c>
      <c r="F1203" s="642" t="s">
        <v>22</v>
      </c>
      <c r="G1203" s="39" t="s">
        <v>19</v>
      </c>
      <c r="H1203" s="33">
        <v>46088</v>
      </c>
      <c r="I1203" s="643">
        <v>0.29216435185185186</v>
      </c>
      <c r="J1203" s="635"/>
      <c r="K1203" s="636"/>
      <c r="L1203" s="636"/>
      <c r="M1203" s="637"/>
      <c r="N1203" s="638"/>
      <c r="O1203" s="638"/>
      <c r="P1203" s="639"/>
      <c r="Q1203" s="26"/>
      <c r="R1203" s="26"/>
      <c r="S1203" s="37"/>
    </row>
    <row r="1204" spans="3:19" x14ac:dyDescent="0.25">
      <c r="C1204" s="677">
        <v>35</v>
      </c>
      <c r="D1204" s="678" t="s">
        <v>68</v>
      </c>
      <c r="E1204" s="641"/>
      <c r="F1204" s="642"/>
      <c r="G1204" s="46" t="s">
        <v>13</v>
      </c>
      <c r="H1204" s="33">
        <v>46089</v>
      </c>
      <c r="I1204" s="644"/>
      <c r="K1204" s="636"/>
      <c r="L1204" s="636"/>
      <c r="M1204" s="637"/>
      <c r="N1204" s="638"/>
      <c r="O1204" s="638"/>
      <c r="P1204" s="639"/>
      <c r="Q1204" s="26"/>
      <c r="R1204" s="26"/>
      <c r="S1204" s="37"/>
    </row>
    <row r="1205" spans="3:19" x14ac:dyDescent="0.25">
      <c r="C1205" s="677">
        <v>35</v>
      </c>
      <c r="D1205" s="678" t="s">
        <v>68</v>
      </c>
      <c r="E1205" s="641"/>
      <c r="F1205" s="642"/>
      <c r="G1205" s="39" t="s">
        <v>14</v>
      </c>
      <c r="H1205" s="33">
        <v>46090</v>
      </c>
      <c r="I1205" s="5">
        <v>0.28913194444444446</v>
      </c>
      <c r="J1205" s="643">
        <v>0.70871527777777776</v>
      </c>
      <c r="K1205" s="636"/>
      <c r="L1205" s="636"/>
      <c r="M1205" s="637"/>
      <c r="N1205" s="638"/>
      <c r="O1205" s="638"/>
      <c r="P1205" s="639"/>
      <c r="Q1205" s="26"/>
      <c r="R1205" s="26"/>
      <c r="S1205" s="37"/>
    </row>
    <row r="1206" spans="3:19" x14ac:dyDescent="0.25">
      <c r="C1206" s="677">
        <v>35</v>
      </c>
      <c r="D1206" s="678" t="s">
        <v>68</v>
      </c>
      <c r="E1206" s="641"/>
      <c r="F1206" s="642"/>
      <c r="G1206" s="39" t="s">
        <v>15</v>
      </c>
      <c r="H1206" s="33">
        <v>46091</v>
      </c>
      <c r="I1206" s="634">
        <v>0.28681712962962963</v>
      </c>
      <c r="J1206" s="635">
        <v>0.70780092592592592</v>
      </c>
      <c r="K1206" s="636"/>
      <c r="L1206" s="636"/>
      <c r="M1206" s="637"/>
      <c r="N1206" s="638"/>
      <c r="O1206" s="638"/>
      <c r="P1206" s="639"/>
      <c r="Q1206" s="26"/>
      <c r="R1206" s="26"/>
      <c r="S1206" s="37"/>
    </row>
    <row r="1207" spans="3:19" x14ac:dyDescent="0.25">
      <c r="C1207" s="677">
        <v>35</v>
      </c>
      <c r="D1207" s="678" t="s">
        <v>68</v>
      </c>
      <c r="E1207" s="641"/>
      <c r="F1207" s="642"/>
      <c r="G1207" s="39" t="s">
        <v>16</v>
      </c>
      <c r="H1207" s="33">
        <v>46092</v>
      </c>
      <c r="I1207" s="634">
        <v>0.28215277777777775</v>
      </c>
      <c r="J1207" s="635">
        <v>0.709050925925926</v>
      </c>
      <c r="K1207" s="636"/>
      <c r="L1207" s="636"/>
      <c r="M1207" s="637"/>
      <c r="N1207" s="638"/>
      <c r="O1207" s="638"/>
      <c r="P1207" s="639"/>
      <c r="Q1207" s="26"/>
      <c r="R1207" s="26"/>
      <c r="S1207" s="37"/>
    </row>
    <row r="1208" spans="3:19" x14ac:dyDescent="0.25">
      <c r="C1208" s="677">
        <v>35</v>
      </c>
      <c r="D1208" s="678" t="s">
        <v>68</v>
      </c>
      <c r="E1208" s="641" t="s">
        <v>22</v>
      </c>
      <c r="F1208" s="642" t="s">
        <v>22</v>
      </c>
      <c r="G1208" s="39" t="s">
        <v>17</v>
      </c>
      <c r="H1208" s="33">
        <v>46093</v>
      </c>
      <c r="I1208" s="634">
        <v>0.2847337962962963</v>
      </c>
      <c r="J1208" s="635">
        <v>0.70837962962962964</v>
      </c>
      <c r="K1208" s="636"/>
      <c r="L1208" s="636"/>
      <c r="M1208" s="637"/>
      <c r="N1208" s="638"/>
      <c r="O1208" s="638"/>
      <c r="P1208" s="639"/>
      <c r="Q1208" s="26"/>
      <c r="R1208" s="26"/>
      <c r="S1208" s="37"/>
    </row>
    <row r="1209" spans="3:19" x14ac:dyDescent="0.25">
      <c r="C1209" s="677">
        <v>35</v>
      </c>
      <c r="D1209" s="678" t="s">
        <v>68</v>
      </c>
      <c r="E1209" s="641" t="s">
        <v>22</v>
      </c>
      <c r="F1209" s="642" t="s">
        <v>22</v>
      </c>
      <c r="G1209" s="48" t="s">
        <v>18</v>
      </c>
      <c r="H1209" s="33">
        <v>46094</v>
      </c>
      <c r="I1209" s="634">
        <v>0.28629629629629633</v>
      </c>
      <c r="J1209" s="635">
        <v>0.70934027777777775</v>
      </c>
      <c r="K1209" s="636"/>
      <c r="L1209" s="636"/>
      <c r="M1209" s="637"/>
      <c r="N1209" s="638"/>
      <c r="O1209" s="638"/>
      <c r="P1209" s="639"/>
      <c r="Q1209" s="26"/>
      <c r="R1209" s="26"/>
      <c r="S1209" s="37"/>
    </row>
    <row r="1210" spans="3:19" x14ac:dyDescent="0.25">
      <c r="C1210" s="677">
        <v>35</v>
      </c>
      <c r="D1210" s="678" t="s">
        <v>68</v>
      </c>
      <c r="E1210" s="641" t="s">
        <v>22</v>
      </c>
      <c r="F1210" s="642" t="s">
        <v>22</v>
      </c>
      <c r="G1210" s="39" t="s">
        <v>19</v>
      </c>
      <c r="H1210" s="33">
        <v>46095</v>
      </c>
      <c r="I1210" s="634">
        <v>0.32915509259259262</v>
      </c>
      <c r="J1210" s="635"/>
      <c r="K1210" s="636"/>
      <c r="L1210" s="636"/>
      <c r="M1210" s="637"/>
      <c r="N1210" s="638"/>
      <c r="O1210" s="638"/>
      <c r="P1210" s="639"/>
      <c r="Q1210" s="26"/>
      <c r="R1210" s="26"/>
      <c r="S1210" s="37"/>
    </row>
    <row r="1211" spans="3:19" x14ac:dyDescent="0.25">
      <c r="C1211" s="677">
        <v>35</v>
      </c>
      <c r="D1211" s="678" t="s">
        <v>68</v>
      </c>
      <c r="E1211" s="641" t="s">
        <v>22</v>
      </c>
      <c r="F1211" s="642" t="s">
        <v>22</v>
      </c>
      <c r="G1211" s="46" t="s">
        <v>13</v>
      </c>
      <c r="H1211" s="33">
        <v>46096</v>
      </c>
      <c r="I1211" s="634"/>
      <c r="J1211" s="635"/>
      <c r="K1211" s="636"/>
      <c r="L1211" s="636"/>
      <c r="M1211" s="637"/>
      <c r="N1211" s="638"/>
      <c r="O1211" s="638"/>
      <c r="P1211" s="44"/>
      <c r="Q1211" s="26"/>
      <c r="R1211" s="26"/>
      <c r="S1211" s="37"/>
    </row>
    <row r="1212" spans="3:19" x14ac:dyDescent="0.25">
      <c r="C1212" s="677">
        <v>35</v>
      </c>
      <c r="D1212" s="678" t="s">
        <v>68</v>
      </c>
      <c r="E1212" s="641" t="s">
        <v>22</v>
      </c>
      <c r="F1212" s="642" t="s">
        <v>22</v>
      </c>
      <c r="G1212" s="39" t="s">
        <v>14</v>
      </c>
      <c r="H1212" s="33">
        <v>46097</v>
      </c>
      <c r="I1212" s="634"/>
      <c r="J1212" s="635"/>
      <c r="K1212" s="636"/>
      <c r="L1212" s="636"/>
      <c r="M1212" s="637"/>
      <c r="N1212" s="638"/>
      <c r="O1212" s="638"/>
      <c r="P1212" s="639"/>
      <c r="Q1212" s="26"/>
      <c r="R1212" s="26"/>
      <c r="S1212" s="37"/>
    </row>
    <row r="1213" spans="3:19" x14ac:dyDescent="0.25">
      <c r="C1213" s="677">
        <v>35</v>
      </c>
      <c r="D1213" s="678" t="s">
        <v>68</v>
      </c>
      <c r="E1213" s="641" t="s">
        <v>22</v>
      </c>
      <c r="F1213" s="642" t="s">
        <v>22</v>
      </c>
      <c r="G1213" s="39" t="s">
        <v>15</v>
      </c>
      <c r="H1213" s="33">
        <v>46098</v>
      </c>
      <c r="I1213" s="634"/>
      <c r="J1213" s="635"/>
      <c r="K1213" s="636"/>
      <c r="L1213" s="636"/>
      <c r="M1213" s="637"/>
      <c r="N1213" s="638"/>
      <c r="O1213" s="638"/>
      <c r="P1213" s="639"/>
      <c r="Q1213" s="26"/>
      <c r="R1213" s="26"/>
      <c r="S1213" s="37"/>
    </row>
    <row r="1214" spans="3:19" x14ac:dyDescent="0.25">
      <c r="C1214" s="677">
        <v>35</v>
      </c>
      <c r="D1214" s="678" t="s">
        <v>68</v>
      </c>
      <c r="E1214" s="641" t="s">
        <v>22</v>
      </c>
      <c r="F1214" s="642" t="s">
        <v>22</v>
      </c>
      <c r="G1214" s="39" t="s">
        <v>16</v>
      </c>
      <c r="H1214" s="33">
        <v>46099</v>
      </c>
      <c r="I1214" s="634"/>
      <c r="J1214" s="635"/>
      <c r="K1214" s="636"/>
      <c r="L1214" s="636"/>
      <c r="M1214" s="637"/>
      <c r="N1214" s="638"/>
      <c r="O1214" s="638"/>
      <c r="P1214" s="639"/>
      <c r="Q1214" s="26"/>
      <c r="R1214" s="26"/>
      <c r="S1214" s="37"/>
    </row>
    <row r="1215" spans="3:19" x14ac:dyDescent="0.25">
      <c r="C1215" s="677">
        <v>35</v>
      </c>
      <c r="D1215" s="678" t="s">
        <v>68</v>
      </c>
      <c r="E1215" s="641" t="s">
        <v>22</v>
      </c>
      <c r="F1215" s="642" t="s">
        <v>22</v>
      </c>
      <c r="G1215" s="39" t="s">
        <v>17</v>
      </c>
      <c r="H1215" s="33">
        <v>46100</v>
      </c>
      <c r="I1215" s="634"/>
      <c r="J1215" s="635"/>
      <c r="K1215" s="636"/>
      <c r="L1215" s="636"/>
      <c r="M1215" s="637"/>
      <c r="N1215" s="638"/>
      <c r="O1215" s="638"/>
      <c r="P1215" s="639"/>
      <c r="Q1215" s="26"/>
      <c r="R1215" s="26"/>
      <c r="S1215" s="37"/>
    </row>
    <row r="1216" spans="3:19" x14ac:dyDescent="0.25">
      <c r="C1216" s="677">
        <v>35</v>
      </c>
      <c r="D1216" s="678" t="s">
        <v>68</v>
      </c>
      <c r="E1216" s="641" t="s">
        <v>22</v>
      </c>
      <c r="F1216" s="642" t="s">
        <v>22</v>
      </c>
      <c r="G1216" s="39" t="s">
        <v>18</v>
      </c>
      <c r="H1216" s="33">
        <v>46101</v>
      </c>
      <c r="I1216" s="634"/>
      <c r="J1216" s="635"/>
      <c r="K1216" s="636"/>
      <c r="L1216" s="636"/>
      <c r="M1216" s="637"/>
      <c r="N1216" s="638"/>
      <c r="O1216" s="638"/>
      <c r="P1216" s="639"/>
      <c r="Q1216" s="26"/>
      <c r="R1216" s="26"/>
      <c r="S1216" s="37"/>
    </row>
    <row r="1217" spans="3:19" x14ac:dyDescent="0.25">
      <c r="C1217" s="677">
        <v>35</v>
      </c>
      <c r="D1217" s="678" t="s">
        <v>68</v>
      </c>
      <c r="E1217" s="641" t="s">
        <v>22</v>
      </c>
      <c r="F1217" s="642" t="s">
        <v>22</v>
      </c>
      <c r="G1217" s="39" t="s">
        <v>19</v>
      </c>
      <c r="H1217" s="33">
        <v>46102</v>
      </c>
      <c r="I1217" s="634"/>
      <c r="J1217" s="635"/>
      <c r="K1217" s="636"/>
      <c r="L1217" s="636"/>
      <c r="M1217" s="637"/>
      <c r="N1217" s="638"/>
      <c r="O1217" s="638"/>
      <c r="P1217" s="639"/>
      <c r="Q1217" s="26"/>
      <c r="R1217" s="26"/>
      <c r="S1217" s="37"/>
    </row>
    <row r="1218" spans="3:19" x14ac:dyDescent="0.25">
      <c r="C1218" s="677">
        <v>35</v>
      </c>
      <c r="D1218" s="678" t="s">
        <v>68</v>
      </c>
      <c r="E1218" s="641"/>
      <c r="F1218" s="642"/>
      <c r="G1218" s="46" t="s">
        <v>13</v>
      </c>
      <c r="H1218" s="33">
        <v>46103</v>
      </c>
      <c r="I1218" s="634"/>
      <c r="J1218" s="635"/>
      <c r="K1218" s="636"/>
      <c r="L1218" s="636"/>
      <c r="M1218" s="637"/>
      <c r="N1218" s="638"/>
      <c r="O1218" s="638"/>
      <c r="P1218" s="639"/>
      <c r="Q1218" s="26"/>
      <c r="R1218" s="26"/>
      <c r="S1218" s="37"/>
    </row>
    <row r="1219" spans="3:19" x14ac:dyDescent="0.25">
      <c r="C1219" s="677">
        <v>35</v>
      </c>
      <c r="D1219" s="678" t="s">
        <v>68</v>
      </c>
      <c r="E1219" s="641"/>
      <c r="F1219" s="642"/>
      <c r="G1219" s="39" t="s">
        <v>14</v>
      </c>
      <c r="H1219" s="33">
        <v>46104</v>
      </c>
      <c r="I1219" s="634"/>
      <c r="J1219" s="635"/>
      <c r="K1219" s="636"/>
      <c r="L1219" s="636"/>
      <c r="M1219" s="637"/>
      <c r="N1219" s="638"/>
      <c r="O1219" s="638"/>
      <c r="P1219" s="639"/>
      <c r="Q1219" s="26"/>
      <c r="R1219" s="26"/>
      <c r="S1219" s="37"/>
    </row>
    <row r="1220" spans="3:19" x14ac:dyDescent="0.25">
      <c r="C1220" s="677">
        <v>35</v>
      </c>
      <c r="D1220" s="678" t="s">
        <v>68</v>
      </c>
      <c r="E1220" s="641"/>
      <c r="F1220" s="642"/>
      <c r="G1220" s="39" t="s">
        <v>15</v>
      </c>
      <c r="H1220" s="33">
        <v>46105</v>
      </c>
      <c r="I1220" s="634"/>
      <c r="J1220" s="635"/>
      <c r="K1220" s="636"/>
      <c r="L1220" s="636"/>
      <c r="M1220" s="637"/>
      <c r="N1220" s="638"/>
      <c r="O1220" s="638"/>
      <c r="P1220" s="639"/>
      <c r="Q1220" s="26"/>
      <c r="R1220" s="26"/>
      <c r="S1220" s="37"/>
    </row>
    <row r="1221" spans="3:19" x14ac:dyDescent="0.25">
      <c r="C1221" s="677">
        <v>35</v>
      </c>
      <c r="D1221" s="678" t="s">
        <v>68</v>
      </c>
      <c r="E1221" s="641"/>
      <c r="F1221" s="642"/>
      <c r="G1221" s="39" t="s">
        <v>16</v>
      </c>
      <c r="H1221" s="33">
        <v>46106</v>
      </c>
      <c r="I1221" s="634"/>
      <c r="J1221" s="635"/>
      <c r="K1221" s="636"/>
      <c r="L1221" s="636"/>
      <c r="M1221" s="637"/>
      <c r="N1221" s="638"/>
      <c r="O1221" s="638"/>
      <c r="P1221" s="639"/>
      <c r="Q1221" s="26"/>
      <c r="R1221" s="26"/>
      <c r="S1221" s="37"/>
    </row>
    <row r="1222" spans="3:19" x14ac:dyDescent="0.25">
      <c r="C1222" s="677">
        <v>35</v>
      </c>
      <c r="D1222" s="678" t="s">
        <v>68</v>
      </c>
      <c r="E1222" s="641"/>
      <c r="F1222" s="642"/>
      <c r="G1222" s="39" t="s">
        <v>17</v>
      </c>
      <c r="H1222" s="33">
        <v>46107</v>
      </c>
      <c r="I1222" s="634"/>
      <c r="J1222" s="635"/>
      <c r="K1222" s="636"/>
      <c r="L1222" s="636"/>
      <c r="M1222" s="637"/>
      <c r="N1222" s="638"/>
      <c r="O1222" s="638"/>
      <c r="P1222" s="639"/>
      <c r="Q1222" s="26"/>
      <c r="R1222" s="26"/>
      <c r="S1222" s="37"/>
    </row>
    <row r="1223" spans="3:19" x14ac:dyDescent="0.25">
      <c r="C1223" s="677">
        <v>35</v>
      </c>
      <c r="D1223" s="678" t="s">
        <v>68</v>
      </c>
      <c r="E1223" s="641"/>
      <c r="F1223" s="642"/>
      <c r="G1223" s="39" t="s">
        <v>18</v>
      </c>
      <c r="H1223" s="33">
        <v>46108</v>
      </c>
      <c r="I1223" s="634"/>
      <c r="J1223" s="635"/>
      <c r="K1223" s="636"/>
      <c r="L1223" s="636"/>
      <c r="M1223" s="637"/>
      <c r="N1223" s="638"/>
      <c r="O1223" s="638"/>
      <c r="P1223" s="639"/>
      <c r="Q1223" s="26"/>
      <c r="R1223" s="26"/>
      <c r="S1223" s="37"/>
    </row>
    <row r="1224" spans="3:19" x14ac:dyDescent="0.25">
      <c r="C1224" s="677">
        <v>35</v>
      </c>
      <c r="D1224" s="678" t="s">
        <v>68</v>
      </c>
      <c r="E1224" s="641"/>
      <c r="F1224" s="642"/>
      <c r="G1224" s="39" t="s">
        <v>19</v>
      </c>
      <c r="H1224" s="33">
        <v>46109</v>
      </c>
      <c r="I1224" s="634"/>
      <c r="J1224" s="635"/>
      <c r="K1224" s="636"/>
      <c r="L1224" s="636"/>
      <c r="M1224" s="637"/>
      <c r="N1224" s="638"/>
      <c r="O1224" s="638"/>
      <c r="P1224" s="639"/>
      <c r="Q1224" s="26"/>
      <c r="R1224" s="26"/>
      <c r="S1224" s="37"/>
    </row>
    <row r="1225" spans="3:19" x14ac:dyDescent="0.25">
      <c r="C1225" s="677">
        <v>35</v>
      </c>
      <c r="D1225" s="678" t="s">
        <v>68</v>
      </c>
      <c r="E1225" s="641"/>
      <c r="F1225" s="642"/>
      <c r="G1225" s="46" t="s">
        <v>13</v>
      </c>
      <c r="H1225" s="33">
        <v>46110</v>
      </c>
      <c r="I1225" s="634"/>
      <c r="J1225" s="635"/>
      <c r="K1225" s="636"/>
      <c r="L1225" s="636"/>
      <c r="M1225" s="637"/>
      <c r="N1225" s="638"/>
      <c r="O1225" s="638"/>
      <c r="P1225" s="639"/>
      <c r="Q1225" s="26"/>
      <c r="R1225" s="26"/>
      <c r="S1225" s="37"/>
    </row>
    <row r="1226" spans="3:19" x14ac:dyDescent="0.25">
      <c r="C1226" s="677">
        <v>35</v>
      </c>
      <c r="D1226" s="678" t="s">
        <v>68</v>
      </c>
      <c r="E1226" s="641"/>
      <c r="F1226" s="642"/>
      <c r="G1226" s="39" t="s">
        <v>14</v>
      </c>
      <c r="H1226" s="33">
        <v>46111</v>
      </c>
      <c r="I1226" s="634"/>
      <c r="J1226" s="635"/>
      <c r="K1226" s="636"/>
      <c r="L1226" s="636"/>
      <c r="M1226" s="637"/>
      <c r="N1226" s="638"/>
      <c r="O1226" s="638"/>
      <c r="P1226" s="639"/>
      <c r="Q1226" s="26"/>
      <c r="R1226" s="26"/>
      <c r="S1226" s="37"/>
    </row>
    <row r="1227" spans="3:19" x14ac:dyDescent="0.25">
      <c r="C1227" s="677">
        <v>35</v>
      </c>
      <c r="D1227" s="678" t="s">
        <v>68</v>
      </c>
      <c r="E1227" s="641"/>
      <c r="F1227" s="642"/>
      <c r="G1227" s="39" t="s">
        <v>15</v>
      </c>
      <c r="H1227" s="33">
        <v>46112</v>
      </c>
      <c r="I1227" s="634"/>
      <c r="J1227" s="635"/>
      <c r="K1227" s="636"/>
      <c r="L1227" s="636"/>
      <c r="M1227" s="637"/>
      <c r="N1227" s="638"/>
      <c r="O1227" s="638"/>
      <c r="P1227" s="639"/>
      <c r="Q1227" s="26"/>
      <c r="R1227" s="26"/>
      <c r="S1227" s="37"/>
    </row>
    <row r="1228" spans="3:19" x14ac:dyDescent="0.25">
      <c r="C1228" s="677"/>
      <c r="D1228" s="678"/>
      <c r="E1228" s="641"/>
      <c r="F1228" s="642"/>
      <c r="G1228" s="39"/>
      <c r="H1228" s="33"/>
      <c r="I1228" s="646"/>
      <c r="J1228" s="646"/>
      <c r="K1228" s="647"/>
      <c r="L1228" s="647"/>
      <c r="M1228" s="648"/>
      <c r="N1228" s="649"/>
      <c r="O1228" s="649"/>
      <c r="P1228" s="681"/>
      <c r="Q1228" s="26"/>
      <c r="R1228" s="26"/>
      <c r="S1228" s="37"/>
    </row>
    <row r="1229" spans="3:19" x14ac:dyDescent="0.25">
      <c r="C1229" s="677"/>
      <c r="D1229" s="678"/>
      <c r="E1229" s="641"/>
      <c r="F1229" s="642"/>
      <c r="G1229" s="39"/>
      <c r="H1229" s="33"/>
      <c r="I1229" s="646"/>
      <c r="J1229" s="646"/>
      <c r="K1229" s="647"/>
      <c r="L1229" s="647"/>
      <c r="M1229" s="648"/>
      <c r="N1229" s="649"/>
      <c r="O1229" s="649"/>
      <c r="P1229" s="681"/>
      <c r="Q1229" s="26"/>
      <c r="R1229" s="26"/>
      <c r="S1229" s="37"/>
    </row>
    <row r="1230" spans="3:19" x14ac:dyDescent="0.25">
      <c r="C1230" s="682"/>
      <c r="D1230" s="651"/>
      <c r="E1230" s="683"/>
      <c r="F1230" s="683"/>
      <c r="G1230" s="684"/>
      <c r="H1230" s="685"/>
      <c r="I1230" s="655" t="str">
        <f>D1200</f>
        <v>ROVIN</v>
      </c>
      <c r="J1230" s="656" t="s">
        <v>20</v>
      </c>
      <c r="K1230" s="657"/>
      <c r="L1230" s="657"/>
      <c r="M1230" s="686">
        <f>SUM(M1197:M1229)</f>
        <v>0</v>
      </c>
      <c r="N1230" s="686">
        <f t="shared" ref="N1230:O1230" si="29">SUM(N1197:N1229)</f>
        <v>0</v>
      </c>
      <c r="O1230" s="686">
        <f t="shared" si="29"/>
        <v>0</v>
      </c>
      <c r="P1230" s="687"/>
      <c r="Q1230" s="26"/>
      <c r="R1230" s="26"/>
      <c r="S1230" s="37"/>
    </row>
    <row r="1231" spans="3:19" x14ac:dyDescent="0.2">
      <c r="C1231" s="688"/>
      <c r="D1231" s="689"/>
      <c r="E1231" s="690"/>
      <c r="F1231" s="690"/>
      <c r="G1231" s="691"/>
      <c r="H1231" s="692"/>
      <c r="I1231" s="693"/>
      <c r="J1231" s="693"/>
      <c r="K1231" s="692"/>
      <c r="L1231" s="692"/>
      <c r="M1231" s="692"/>
      <c r="N1231" s="694"/>
      <c r="O1231" s="694"/>
      <c r="P1231" s="695"/>
      <c r="Q1231" s="26"/>
      <c r="R1231" s="26"/>
      <c r="S1231" s="37"/>
    </row>
    <row r="1232" spans="3:19" x14ac:dyDescent="0.2">
      <c r="C1232" s="365" t="s">
        <v>1</v>
      </c>
      <c r="D1232" s="668" t="s">
        <v>2</v>
      </c>
      <c r="E1232" s="669" t="s">
        <v>3</v>
      </c>
      <c r="F1232" s="669" t="s">
        <v>4</v>
      </c>
      <c r="G1232" s="670" t="s">
        <v>5</v>
      </c>
      <c r="H1232" s="669" t="s">
        <v>6</v>
      </c>
      <c r="I1232" s="671" t="s">
        <v>7</v>
      </c>
      <c r="J1232" s="671" t="s">
        <v>8</v>
      </c>
      <c r="K1232" s="672"/>
      <c r="L1232" s="673"/>
      <c r="M1232" s="673" t="s">
        <v>9</v>
      </c>
      <c r="N1232" s="674" t="s">
        <v>10</v>
      </c>
      <c r="O1232" s="674" t="s">
        <v>11</v>
      </c>
      <c r="P1232" s="675"/>
      <c r="Q1232" s="26"/>
      <c r="R1232" s="26"/>
      <c r="S1232" s="37"/>
    </row>
    <row r="1233" spans="3:19" x14ac:dyDescent="0.25">
      <c r="C1233" s="696">
        <v>36</v>
      </c>
      <c r="D1233" s="697" t="s">
        <v>88</v>
      </c>
      <c r="E1233" s="698" t="s">
        <v>22</v>
      </c>
      <c r="F1233" s="699" t="s">
        <v>22</v>
      </c>
      <c r="G1233" s="32" t="s">
        <v>13</v>
      </c>
      <c r="H1233" s="33">
        <v>46082</v>
      </c>
      <c r="I1233" s="700"/>
      <c r="J1233" s="701"/>
      <c r="K1233" s="702"/>
      <c r="L1233" s="702"/>
      <c r="M1233" s="703"/>
      <c r="N1233" s="704"/>
      <c r="O1233" s="704"/>
      <c r="P1233" s="705"/>
      <c r="Q1233" s="26"/>
      <c r="R1233" s="26"/>
      <c r="S1233" s="37"/>
    </row>
    <row r="1234" spans="3:19" x14ac:dyDescent="0.25">
      <c r="C1234" s="696">
        <v>36</v>
      </c>
      <c r="D1234" s="697" t="s">
        <v>88</v>
      </c>
      <c r="E1234" s="698" t="s">
        <v>22</v>
      </c>
      <c r="F1234" s="699" t="s">
        <v>22</v>
      </c>
      <c r="G1234" s="29" t="s">
        <v>14</v>
      </c>
      <c r="H1234" s="33">
        <v>46083</v>
      </c>
      <c r="I1234" s="706">
        <v>0.32685185185185184</v>
      </c>
      <c r="J1234" s="701"/>
      <c r="K1234" s="702"/>
      <c r="L1234" s="702"/>
      <c r="M1234" s="703"/>
      <c r="N1234" s="704"/>
      <c r="O1234" s="704"/>
      <c r="P1234" s="705"/>
      <c r="Q1234" s="26"/>
      <c r="R1234" s="26"/>
      <c r="S1234" s="37"/>
    </row>
    <row r="1235" spans="3:19" x14ac:dyDescent="0.25">
      <c r="C1235" s="696">
        <v>36</v>
      </c>
      <c r="D1235" s="697" t="s">
        <v>88</v>
      </c>
      <c r="E1235" s="698" t="s">
        <v>22</v>
      </c>
      <c r="F1235" s="699" t="s">
        <v>22</v>
      </c>
      <c r="G1235" s="39" t="s">
        <v>15</v>
      </c>
      <c r="H1235" s="33">
        <v>46084</v>
      </c>
      <c r="I1235" s="707">
        <v>0.33025462962962965</v>
      </c>
      <c r="J1235" s="701">
        <v>0.71116898148148155</v>
      </c>
      <c r="K1235" s="702"/>
      <c r="L1235" s="702"/>
      <c r="M1235" s="703"/>
      <c r="N1235" s="704"/>
      <c r="O1235" s="704"/>
      <c r="P1235" s="705"/>
      <c r="Q1235" s="26"/>
      <c r="R1235" s="26"/>
      <c r="S1235" s="37"/>
    </row>
    <row r="1236" spans="3:19" x14ac:dyDescent="0.25">
      <c r="C1236" s="696">
        <v>36</v>
      </c>
      <c r="D1236" s="697" t="s">
        <v>88</v>
      </c>
      <c r="E1236" s="698" t="s">
        <v>22</v>
      </c>
      <c r="F1236" s="699" t="s">
        <v>22</v>
      </c>
      <c r="G1236" s="39" t="s">
        <v>16</v>
      </c>
      <c r="H1236" s="33">
        <v>46085</v>
      </c>
      <c r="I1236" s="707">
        <v>0.31253472222222223</v>
      </c>
      <c r="J1236" s="701">
        <v>0.81194444444444447</v>
      </c>
      <c r="K1236" s="702"/>
      <c r="L1236" s="702"/>
      <c r="M1236" s="703"/>
      <c r="N1236" s="704"/>
      <c r="O1236" s="704"/>
      <c r="P1236" s="705"/>
      <c r="Q1236" s="26"/>
      <c r="R1236" s="26"/>
      <c r="S1236" s="37"/>
    </row>
    <row r="1237" spans="3:19" x14ac:dyDescent="0.25">
      <c r="C1237" s="696">
        <v>36</v>
      </c>
      <c r="D1237" s="697" t="s">
        <v>88</v>
      </c>
      <c r="E1237" s="698" t="s">
        <v>22</v>
      </c>
      <c r="F1237" s="699" t="s">
        <v>22</v>
      </c>
      <c r="G1237" s="39" t="s">
        <v>17</v>
      </c>
      <c r="H1237" s="33">
        <v>46086</v>
      </c>
      <c r="I1237" s="707">
        <v>0.32300925925925927</v>
      </c>
      <c r="J1237" s="701">
        <v>0.71259259259259267</v>
      </c>
      <c r="K1237" s="702"/>
      <c r="L1237" s="702"/>
      <c r="M1237" s="703"/>
      <c r="N1237" s="704"/>
      <c r="O1237" s="704"/>
      <c r="P1237" s="705"/>
      <c r="Q1237" s="26"/>
      <c r="R1237" s="26"/>
      <c r="S1237" s="37"/>
    </row>
    <row r="1238" spans="3:19" x14ac:dyDescent="0.25">
      <c r="C1238" s="696">
        <v>36</v>
      </c>
      <c r="D1238" s="697" t="s">
        <v>88</v>
      </c>
      <c r="E1238" s="708" t="s">
        <v>22</v>
      </c>
      <c r="F1238" s="709" t="s">
        <v>22</v>
      </c>
      <c r="G1238" s="45" t="s">
        <v>18</v>
      </c>
      <c r="H1238" s="33">
        <v>46087</v>
      </c>
      <c r="I1238" s="707">
        <v>0.32059027777777777</v>
      </c>
      <c r="J1238" s="701">
        <v>0.71087962962962958</v>
      </c>
      <c r="K1238" s="702"/>
      <c r="L1238" s="702"/>
      <c r="M1238" s="703"/>
      <c r="N1238" s="704"/>
      <c r="O1238" s="704"/>
      <c r="P1238" s="705"/>
      <c r="Q1238" s="26"/>
      <c r="R1238" s="26"/>
      <c r="S1238" s="37"/>
    </row>
    <row r="1239" spans="3:19" x14ac:dyDescent="0.25">
      <c r="C1239" s="696">
        <v>36</v>
      </c>
      <c r="D1239" s="697" t="s">
        <v>88</v>
      </c>
      <c r="E1239" s="708" t="s">
        <v>22</v>
      </c>
      <c r="F1239" s="709" t="s">
        <v>22</v>
      </c>
      <c r="G1239" s="39" t="s">
        <v>19</v>
      </c>
      <c r="H1239" s="33">
        <v>46088</v>
      </c>
      <c r="I1239" s="707">
        <v>0.33046296296296296</v>
      </c>
      <c r="J1239" s="701">
        <v>0.55788194444444439</v>
      </c>
      <c r="K1239" s="702"/>
      <c r="L1239" s="702"/>
      <c r="M1239" s="703"/>
      <c r="N1239" s="704"/>
      <c r="O1239" s="704"/>
      <c r="P1239" s="705"/>
      <c r="Q1239" s="26"/>
      <c r="R1239" s="26"/>
      <c r="S1239" s="37"/>
    </row>
    <row r="1240" spans="3:19" x14ac:dyDescent="0.25">
      <c r="C1240" s="696">
        <v>36</v>
      </c>
      <c r="D1240" s="697" t="s">
        <v>88</v>
      </c>
      <c r="E1240" s="708"/>
      <c r="F1240" s="709"/>
      <c r="G1240" s="46" t="s">
        <v>13</v>
      </c>
      <c r="H1240" s="33">
        <v>46089</v>
      </c>
      <c r="I1240" s="700"/>
      <c r="K1240" s="702"/>
      <c r="L1240" s="702"/>
      <c r="M1240" s="703"/>
      <c r="N1240" s="704"/>
      <c r="O1240" s="704"/>
      <c r="P1240" s="705"/>
      <c r="Q1240" s="26"/>
      <c r="R1240" s="26"/>
      <c r="S1240" s="37"/>
    </row>
    <row r="1241" spans="3:19" x14ac:dyDescent="0.25">
      <c r="C1241" s="696">
        <v>36</v>
      </c>
      <c r="D1241" s="697" t="s">
        <v>88</v>
      </c>
      <c r="E1241" s="708"/>
      <c r="F1241" s="709"/>
      <c r="G1241" s="39" t="s">
        <v>14</v>
      </c>
      <c r="H1241" s="33">
        <v>46090</v>
      </c>
      <c r="I1241" s="5">
        <v>0.32239583333333333</v>
      </c>
      <c r="J1241" s="707">
        <v>0.71061342592592591</v>
      </c>
      <c r="K1241" s="702"/>
      <c r="L1241" s="702"/>
      <c r="M1241" s="703"/>
      <c r="N1241" s="704"/>
      <c r="O1241" s="704"/>
      <c r="P1241" s="705"/>
      <c r="Q1241" s="26"/>
      <c r="R1241" s="26"/>
      <c r="S1241" s="37"/>
    </row>
    <row r="1242" spans="3:19" x14ac:dyDescent="0.25">
      <c r="C1242" s="696">
        <v>36</v>
      </c>
      <c r="D1242" s="697" t="s">
        <v>88</v>
      </c>
      <c r="E1242" s="708"/>
      <c r="F1242" s="709"/>
      <c r="G1242" s="39" t="s">
        <v>15</v>
      </c>
      <c r="H1242" s="33">
        <v>46091</v>
      </c>
      <c r="I1242" s="706">
        <v>0.32033564814814813</v>
      </c>
      <c r="J1242" s="701">
        <v>0.71057870370370368</v>
      </c>
      <c r="K1242" s="702"/>
      <c r="L1242" s="702"/>
      <c r="M1242" s="703"/>
      <c r="N1242" s="704"/>
      <c r="O1242" s="704"/>
      <c r="P1242" s="705"/>
      <c r="Q1242" s="26"/>
      <c r="R1242" s="26"/>
      <c r="S1242" s="37"/>
    </row>
    <row r="1243" spans="3:19" x14ac:dyDescent="0.25">
      <c r="C1243" s="696">
        <v>36</v>
      </c>
      <c r="D1243" s="697" t="s">
        <v>88</v>
      </c>
      <c r="E1243" s="708"/>
      <c r="F1243" s="709"/>
      <c r="G1243" s="39" t="s">
        <v>16</v>
      </c>
      <c r="H1243" s="33">
        <v>46092</v>
      </c>
      <c r="I1243" s="706">
        <v>0.32341435185185186</v>
      </c>
      <c r="J1243" s="701">
        <v>0.71097222222222223</v>
      </c>
      <c r="K1243" s="702"/>
      <c r="L1243" s="702"/>
      <c r="M1243" s="703"/>
      <c r="N1243" s="704"/>
      <c r="O1243" s="704"/>
      <c r="P1243" s="705"/>
      <c r="Q1243" s="26"/>
      <c r="R1243" s="26"/>
      <c r="S1243" s="37"/>
    </row>
    <row r="1244" spans="3:19" x14ac:dyDescent="0.25">
      <c r="C1244" s="696">
        <v>36</v>
      </c>
      <c r="D1244" s="697" t="s">
        <v>88</v>
      </c>
      <c r="E1244" s="708" t="s">
        <v>22</v>
      </c>
      <c r="F1244" s="709" t="s">
        <v>22</v>
      </c>
      <c r="G1244" s="39" t="s">
        <v>17</v>
      </c>
      <c r="H1244" s="33">
        <v>46093</v>
      </c>
      <c r="I1244" s="706">
        <v>0.32215277777777779</v>
      </c>
      <c r="J1244" s="701">
        <v>0.71241898148148142</v>
      </c>
      <c r="K1244" s="702"/>
      <c r="L1244" s="702"/>
      <c r="M1244" s="703"/>
      <c r="N1244" s="704"/>
      <c r="O1244" s="704"/>
      <c r="P1244" s="705"/>
      <c r="Q1244" s="26"/>
      <c r="R1244" s="26"/>
      <c r="S1244" s="37"/>
    </row>
    <row r="1245" spans="3:19" x14ac:dyDescent="0.25">
      <c r="C1245" s="696">
        <v>36</v>
      </c>
      <c r="D1245" s="697" t="s">
        <v>88</v>
      </c>
      <c r="E1245" s="708" t="s">
        <v>22</v>
      </c>
      <c r="F1245" s="709" t="s">
        <v>22</v>
      </c>
      <c r="G1245" s="48" t="s">
        <v>18</v>
      </c>
      <c r="H1245" s="33">
        <v>46094</v>
      </c>
      <c r="I1245" s="706">
        <v>0.32302083333333331</v>
      </c>
      <c r="J1245" s="701">
        <v>0.72199074074074077</v>
      </c>
      <c r="K1245" s="702"/>
      <c r="L1245" s="702"/>
      <c r="M1245" s="703"/>
      <c r="N1245" s="704"/>
      <c r="O1245" s="704"/>
      <c r="P1245" s="705"/>
      <c r="Q1245" s="26"/>
      <c r="R1245" s="26"/>
      <c r="S1245" s="37"/>
    </row>
    <row r="1246" spans="3:19" x14ac:dyDescent="0.25">
      <c r="C1246" s="696">
        <v>36</v>
      </c>
      <c r="D1246" s="697" t="s">
        <v>88</v>
      </c>
      <c r="E1246" s="708"/>
      <c r="F1246" s="709"/>
      <c r="G1246" s="39" t="s">
        <v>19</v>
      </c>
      <c r="H1246" s="33">
        <v>46095</v>
      </c>
      <c r="I1246" s="706">
        <v>0.32847222222222222</v>
      </c>
      <c r="J1246" s="701"/>
      <c r="K1246" s="702"/>
      <c r="L1246" s="702"/>
      <c r="M1246" s="703"/>
      <c r="N1246" s="704"/>
      <c r="O1246" s="704"/>
      <c r="P1246" s="705"/>
      <c r="Q1246" s="26"/>
      <c r="R1246" s="26"/>
      <c r="S1246" s="37"/>
    </row>
    <row r="1247" spans="3:19" x14ac:dyDescent="0.25">
      <c r="C1247" s="696">
        <v>36</v>
      </c>
      <c r="D1247" s="697" t="s">
        <v>88</v>
      </c>
      <c r="E1247" s="708"/>
      <c r="F1247" s="709"/>
      <c r="G1247" s="46" t="s">
        <v>13</v>
      </c>
      <c r="H1247" s="33">
        <v>46096</v>
      </c>
      <c r="I1247" s="706"/>
      <c r="J1247" s="701"/>
      <c r="K1247" s="702"/>
      <c r="L1247" s="702"/>
      <c r="M1247" s="703"/>
      <c r="N1247" s="704"/>
      <c r="O1247" s="704"/>
      <c r="P1247" s="44"/>
      <c r="Q1247" s="26"/>
      <c r="R1247" s="26"/>
      <c r="S1247" s="37"/>
    </row>
    <row r="1248" spans="3:19" x14ac:dyDescent="0.25">
      <c r="C1248" s="696">
        <v>36</v>
      </c>
      <c r="D1248" s="697" t="s">
        <v>88</v>
      </c>
      <c r="E1248" s="708"/>
      <c r="F1248" s="709"/>
      <c r="G1248" s="39" t="s">
        <v>14</v>
      </c>
      <c r="H1248" s="33">
        <v>46097</v>
      </c>
      <c r="I1248" s="706"/>
      <c r="J1248" s="701"/>
      <c r="K1248" s="702"/>
      <c r="L1248" s="702"/>
      <c r="M1248" s="703"/>
      <c r="N1248" s="704"/>
      <c r="O1248" s="704"/>
      <c r="P1248" s="705"/>
      <c r="Q1248" s="26"/>
      <c r="R1248" s="26"/>
      <c r="S1248" s="37"/>
    </row>
    <row r="1249" spans="3:19" x14ac:dyDescent="0.25">
      <c r="C1249" s="696">
        <v>36</v>
      </c>
      <c r="D1249" s="697" t="s">
        <v>88</v>
      </c>
      <c r="E1249" s="708"/>
      <c r="F1249" s="709"/>
      <c r="G1249" s="39" t="s">
        <v>15</v>
      </c>
      <c r="H1249" s="33">
        <v>46098</v>
      </c>
      <c r="I1249" s="706"/>
      <c r="J1249" s="701"/>
      <c r="K1249" s="702"/>
      <c r="L1249" s="702"/>
      <c r="M1249" s="703"/>
      <c r="N1249" s="704"/>
      <c r="O1249" s="704"/>
      <c r="P1249" s="705"/>
      <c r="Q1249" s="26"/>
      <c r="R1249" s="26"/>
      <c r="S1249" s="37"/>
    </row>
    <row r="1250" spans="3:19" x14ac:dyDescent="0.25">
      <c r="C1250" s="696">
        <v>36</v>
      </c>
      <c r="D1250" s="697" t="s">
        <v>88</v>
      </c>
      <c r="E1250" s="708"/>
      <c r="F1250" s="709"/>
      <c r="G1250" s="39" t="s">
        <v>16</v>
      </c>
      <c r="H1250" s="33">
        <v>46099</v>
      </c>
      <c r="I1250" s="706"/>
      <c r="J1250" s="701"/>
      <c r="K1250" s="702"/>
      <c r="L1250" s="702"/>
      <c r="M1250" s="703"/>
      <c r="N1250" s="704"/>
      <c r="O1250" s="704"/>
      <c r="P1250" s="705"/>
      <c r="Q1250" s="26"/>
      <c r="R1250" s="26"/>
      <c r="S1250" s="37"/>
    </row>
    <row r="1251" spans="3:19" x14ac:dyDescent="0.25">
      <c r="C1251" s="696">
        <v>36</v>
      </c>
      <c r="D1251" s="697" t="s">
        <v>88</v>
      </c>
      <c r="E1251" s="708"/>
      <c r="F1251" s="709"/>
      <c r="G1251" s="39" t="s">
        <v>17</v>
      </c>
      <c r="H1251" s="33">
        <v>46100</v>
      </c>
      <c r="I1251" s="706"/>
      <c r="J1251" s="701"/>
      <c r="K1251" s="702"/>
      <c r="L1251" s="702"/>
      <c r="M1251" s="703"/>
      <c r="N1251" s="704"/>
      <c r="O1251" s="704"/>
      <c r="P1251" s="705"/>
      <c r="Q1251" s="26"/>
      <c r="R1251" s="26"/>
      <c r="S1251" s="37"/>
    </row>
    <row r="1252" spans="3:19" x14ac:dyDescent="0.25">
      <c r="C1252" s="696">
        <v>36</v>
      </c>
      <c r="D1252" s="697" t="s">
        <v>88</v>
      </c>
      <c r="E1252" s="708"/>
      <c r="F1252" s="709"/>
      <c r="G1252" s="39" t="s">
        <v>18</v>
      </c>
      <c r="H1252" s="33">
        <v>46101</v>
      </c>
      <c r="I1252" s="706"/>
      <c r="J1252" s="701"/>
      <c r="K1252" s="702"/>
      <c r="L1252" s="702"/>
      <c r="M1252" s="703"/>
      <c r="N1252" s="704"/>
      <c r="O1252" s="704"/>
      <c r="P1252" s="705"/>
      <c r="Q1252" s="26"/>
      <c r="R1252" s="26"/>
      <c r="S1252" s="37"/>
    </row>
    <row r="1253" spans="3:19" x14ac:dyDescent="0.25">
      <c r="C1253" s="696">
        <v>36</v>
      </c>
      <c r="D1253" s="697" t="s">
        <v>88</v>
      </c>
      <c r="E1253" s="708"/>
      <c r="F1253" s="709"/>
      <c r="G1253" s="39" t="s">
        <v>19</v>
      </c>
      <c r="H1253" s="33">
        <v>46102</v>
      </c>
      <c r="I1253" s="706"/>
      <c r="J1253" s="701"/>
      <c r="K1253" s="702"/>
      <c r="L1253" s="702"/>
      <c r="M1253" s="703"/>
      <c r="N1253" s="704"/>
      <c r="O1253" s="704"/>
      <c r="P1253" s="705"/>
      <c r="Q1253" s="26"/>
      <c r="R1253" s="26"/>
      <c r="S1253" s="37"/>
    </row>
    <row r="1254" spans="3:19" x14ac:dyDescent="0.25">
      <c r="C1254" s="696">
        <v>36</v>
      </c>
      <c r="D1254" s="697" t="s">
        <v>88</v>
      </c>
      <c r="E1254" s="708"/>
      <c r="F1254" s="709"/>
      <c r="G1254" s="46" t="s">
        <v>13</v>
      </c>
      <c r="H1254" s="33">
        <v>46103</v>
      </c>
      <c r="I1254" s="706"/>
      <c r="J1254" s="701"/>
      <c r="K1254" s="702"/>
      <c r="L1254" s="702"/>
      <c r="M1254" s="703"/>
      <c r="N1254" s="704"/>
      <c r="O1254" s="704"/>
      <c r="P1254" s="705"/>
      <c r="Q1254" s="26"/>
      <c r="R1254" s="26"/>
      <c r="S1254" s="37"/>
    </row>
    <row r="1255" spans="3:19" x14ac:dyDescent="0.25">
      <c r="C1255" s="696">
        <v>36</v>
      </c>
      <c r="D1255" s="697" t="s">
        <v>88</v>
      </c>
      <c r="E1255" s="708"/>
      <c r="F1255" s="709"/>
      <c r="G1255" s="39" t="s">
        <v>14</v>
      </c>
      <c r="H1255" s="33">
        <v>46104</v>
      </c>
      <c r="I1255" s="706"/>
      <c r="J1255" s="701"/>
      <c r="K1255" s="702"/>
      <c r="L1255" s="702"/>
      <c r="M1255" s="703"/>
      <c r="N1255" s="704"/>
      <c r="O1255" s="704"/>
      <c r="P1255" s="705"/>
      <c r="Q1255" s="26"/>
      <c r="R1255" s="26"/>
      <c r="S1255" s="37"/>
    </row>
    <row r="1256" spans="3:19" x14ac:dyDescent="0.25">
      <c r="C1256" s="696">
        <v>36</v>
      </c>
      <c r="D1256" s="697" t="s">
        <v>88</v>
      </c>
      <c r="E1256" s="708"/>
      <c r="F1256" s="709"/>
      <c r="G1256" s="39" t="s">
        <v>15</v>
      </c>
      <c r="H1256" s="33">
        <v>46105</v>
      </c>
      <c r="I1256" s="706"/>
      <c r="J1256" s="701"/>
      <c r="K1256" s="702"/>
      <c r="L1256" s="702"/>
      <c r="M1256" s="703"/>
      <c r="N1256" s="704"/>
      <c r="O1256" s="704"/>
      <c r="P1256" s="705"/>
      <c r="Q1256" s="26"/>
      <c r="R1256" s="26"/>
      <c r="S1256" s="37"/>
    </row>
    <row r="1257" spans="3:19" x14ac:dyDescent="0.25">
      <c r="C1257" s="696">
        <v>36</v>
      </c>
      <c r="D1257" s="697" t="s">
        <v>88</v>
      </c>
      <c r="E1257" s="708"/>
      <c r="F1257" s="709"/>
      <c r="G1257" s="39" t="s">
        <v>16</v>
      </c>
      <c r="H1257" s="33">
        <v>46106</v>
      </c>
      <c r="I1257" s="706"/>
      <c r="J1257" s="701"/>
      <c r="K1257" s="702"/>
      <c r="L1257" s="702"/>
      <c r="M1257" s="703"/>
      <c r="N1257" s="704"/>
      <c r="O1257" s="704"/>
      <c r="P1257" s="705"/>
      <c r="Q1257" s="26"/>
      <c r="R1257" s="26"/>
      <c r="S1257" s="37"/>
    </row>
    <row r="1258" spans="3:19" x14ac:dyDescent="0.25">
      <c r="C1258" s="696">
        <v>36</v>
      </c>
      <c r="D1258" s="697" t="s">
        <v>88</v>
      </c>
      <c r="E1258" s="708"/>
      <c r="F1258" s="709"/>
      <c r="G1258" s="39" t="s">
        <v>17</v>
      </c>
      <c r="H1258" s="33">
        <v>46107</v>
      </c>
      <c r="I1258" s="706"/>
      <c r="J1258" s="701"/>
      <c r="K1258" s="702"/>
      <c r="L1258" s="702"/>
      <c r="M1258" s="703"/>
      <c r="N1258" s="704"/>
      <c r="O1258" s="704"/>
      <c r="P1258" s="705"/>
      <c r="Q1258" s="26"/>
      <c r="R1258" s="26"/>
      <c r="S1258" s="37"/>
    </row>
    <row r="1259" spans="3:19" x14ac:dyDescent="0.25">
      <c r="C1259" s="696">
        <v>36</v>
      </c>
      <c r="D1259" s="697" t="s">
        <v>88</v>
      </c>
      <c r="E1259" s="708"/>
      <c r="F1259" s="709"/>
      <c r="G1259" s="39" t="s">
        <v>18</v>
      </c>
      <c r="H1259" s="33">
        <v>46108</v>
      </c>
      <c r="I1259" s="706"/>
      <c r="J1259" s="701"/>
      <c r="K1259" s="702"/>
      <c r="L1259" s="702"/>
      <c r="M1259" s="703"/>
      <c r="N1259" s="704"/>
      <c r="O1259" s="704"/>
      <c r="P1259" s="705"/>
      <c r="Q1259" s="26"/>
      <c r="R1259" s="26"/>
      <c r="S1259" s="37"/>
    </row>
    <row r="1260" spans="3:19" x14ac:dyDescent="0.25">
      <c r="C1260" s="696">
        <v>36</v>
      </c>
      <c r="D1260" s="697" t="s">
        <v>88</v>
      </c>
      <c r="E1260" s="708"/>
      <c r="F1260" s="709"/>
      <c r="G1260" s="39" t="s">
        <v>19</v>
      </c>
      <c r="H1260" s="33">
        <v>46109</v>
      </c>
      <c r="I1260" s="706"/>
      <c r="J1260" s="701"/>
      <c r="K1260" s="702"/>
      <c r="L1260" s="702"/>
      <c r="M1260" s="703"/>
      <c r="N1260" s="704"/>
      <c r="O1260" s="704"/>
      <c r="P1260" s="705"/>
      <c r="Q1260" s="26"/>
      <c r="R1260" s="26"/>
      <c r="S1260" s="37"/>
    </row>
    <row r="1261" spans="3:19" x14ac:dyDescent="0.25">
      <c r="C1261" s="696">
        <v>36</v>
      </c>
      <c r="D1261" s="697" t="s">
        <v>88</v>
      </c>
      <c r="E1261" s="708"/>
      <c r="F1261" s="709"/>
      <c r="G1261" s="46" t="s">
        <v>13</v>
      </c>
      <c r="H1261" s="33">
        <v>46110</v>
      </c>
      <c r="I1261" s="706"/>
      <c r="J1261" s="701"/>
      <c r="K1261" s="702"/>
      <c r="L1261" s="702"/>
      <c r="M1261" s="703"/>
      <c r="N1261" s="704"/>
      <c r="O1261" s="704"/>
      <c r="P1261" s="705"/>
      <c r="Q1261" s="26"/>
      <c r="R1261" s="26"/>
      <c r="S1261" s="37"/>
    </row>
    <row r="1262" spans="3:19" x14ac:dyDescent="0.25">
      <c r="C1262" s="696">
        <v>36</v>
      </c>
      <c r="D1262" s="697" t="s">
        <v>88</v>
      </c>
      <c r="E1262" s="708"/>
      <c r="F1262" s="709"/>
      <c r="G1262" s="39" t="s">
        <v>14</v>
      </c>
      <c r="H1262" s="33">
        <v>46111</v>
      </c>
      <c r="I1262" s="706"/>
      <c r="J1262" s="701"/>
      <c r="K1262" s="702"/>
      <c r="L1262" s="702"/>
      <c r="M1262" s="703"/>
      <c r="N1262" s="704"/>
      <c r="O1262" s="704"/>
      <c r="P1262" s="705"/>
      <c r="Q1262" s="26"/>
      <c r="R1262" s="26"/>
      <c r="S1262" s="37"/>
    </row>
    <row r="1263" spans="3:19" x14ac:dyDescent="0.25">
      <c r="C1263" s="696">
        <v>36</v>
      </c>
      <c r="D1263" s="697" t="s">
        <v>88</v>
      </c>
      <c r="E1263" s="708"/>
      <c r="F1263" s="709"/>
      <c r="G1263" s="39" t="s">
        <v>15</v>
      </c>
      <c r="H1263" s="33">
        <v>46112</v>
      </c>
      <c r="I1263" s="706"/>
      <c r="J1263" s="701"/>
      <c r="K1263" s="702"/>
      <c r="L1263" s="702"/>
      <c r="M1263" s="703"/>
      <c r="N1263" s="704"/>
      <c r="O1263" s="704"/>
      <c r="P1263" s="705"/>
      <c r="Q1263" s="26"/>
      <c r="R1263" s="26"/>
      <c r="S1263" s="37"/>
    </row>
    <row r="1264" spans="3:19" x14ac:dyDescent="0.25">
      <c r="C1264" s="696"/>
      <c r="D1264" s="697"/>
      <c r="E1264" s="708"/>
      <c r="F1264" s="709"/>
      <c r="G1264" s="39"/>
      <c r="H1264" s="33"/>
      <c r="I1264" s="710"/>
      <c r="J1264" s="711"/>
      <c r="K1264" s="712"/>
      <c r="L1264" s="712"/>
      <c r="M1264" s="713"/>
      <c r="N1264" s="714"/>
      <c r="O1264" s="714"/>
      <c r="P1264" s="715"/>
      <c r="Q1264" s="26"/>
      <c r="R1264" s="26"/>
      <c r="S1264" s="37"/>
    </row>
    <row r="1265" spans="3:19" x14ac:dyDescent="0.25">
      <c r="C1265" s="716"/>
      <c r="D1265" s="717"/>
      <c r="E1265" s="718"/>
      <c r="F1265" s="718"/>
      <c r="G1265" s="719"/>
      <c r="H1265" s="720"/>
      <c r="I1265" s="721" t="str">
        <f>D1236</f>
        <v>WIWIN SH</v>
      </c>
      <c r="J1265" s="722" t="s">
        <v>20</v>
      </c>
      <c r="K1265" s="723"/>
      <c r="L1265" s="723"/>
      <c r="M1265" s="724">
        <f>SUM(M1233:M1264)</f>
        <v>0</v>
      </c>
      <c r="N1265" s="724">
        <f t="shared" ref="N1265:O1265" si="30">SUM(N1233:N1264)</f>
        <v>0</v>
      </c>
      <c r="O1265" s="724">
        <f t="shared" si="30"/>
        <v>0</v>
      </c>
      <c r="P1265" s="725"/>
      <c r="Q1265" s="26"/>
      <c r="R1265" s="26"/>
      <c r="S1265" s="37"/>
    </row>
    <row r="1266" spans="3:19" x14ac:dyDescent="0.2">
      <c r="C1266" s="660"/>
      <c r="D1266" s="661"/>
      <c r="E1266" s="662"/>
      <c r="F1266" s="662"/>
      <c r="G1266" s="663"/>
      <c r="H1266" s="664"/>
      <c r="I1266" s="665"/>
      <c r="J1266" s="665"/>
      <c r="K1266" s="664"/>
      <c r="L1266" s="664"/>
      <c r="M1266" s="664"/>
      <c r="N1266" s="666"/>
      <c r="O1266" s="666"/>
      <c r="P1266" s="667"/>
      <c r="Q1266" s="26"/>
      <c r="R1266" s="26"/>
      <c r="S1266" s="37"/>
    </row>
    <row r="1267" spans="3:19" x14ac:dyDescent="0.2">
      <c r="C1267" s="365" t="s">
        <v>1</v>
      </c>
      <c r="D1267" s="668" t="s">
        <v>2</v>
      </c>
      <c r="E1267" s="669" t="s">
        <v>3</v>
      </c>
      <c r="F1267" s="669" t="s">
        <v>4</v>
      </c>
      <c r="G1267" s="670" t="s">
        <v>5</v>
      </c>
      <c r="H1267" s="669" t="s">
        <v>6</v>
      </c>
      <c r="I1267" s="671" t="s">
        <v>7</v>
      </c>
      <c r="J1267" s="671" t="s">
        <v>8</v>
      </c>
      <c r="K1267" s="672"/>
      <c r="L1267" s="673"/>
      <c r="M1267" s="673" t="s">
        <v>9</v>
      </c>
      <c r="N1267" s="674" t="s">
        <v>10</v>
      </c>
      <c r="O1267" s="674" t="s">
        <v>11</v>
      </c>
      <c r="P1267" s="675"/>
      <c r="Q1267" s="26"/>
      <c r="R1267" s="26"/>
      <c r="S1267" s="37"/>
    </row>
    <row r="1268" spans="3:19" x14ac:dyDescent="0.25">
      <c r="C1268" s="696">
        <v>37</v>
      </c>
      <c r="D1268" s="697" t="s">
        <v>69</v>
      </c>
      <c r="E1268" s="698" t="s">
        <v>22</v>
      </c>
      <c r="F1268" s="699" t="s">
        <v>22</v>
      </c>
      <c r="G1268" s="32" t="s">
        <v>13</v>
      </c>
      <c r="H1268" s="33">
        <v>46082</v>
      </c>
      <c r="I1268" s="700"/>
      <c r="J1268" s="701"/>
      <c r="K1268" s="702"/>
      <c r="L1268" s="702"/>
      <c r="M1268" s="703"/>
      <c r="N1268" s="704"/>
      <c r="O1268" s="704"/>
      <c r="P1268" s="705"/>
      <c r="Q1268" s="26"/>
      <c r="R1268" s="26"/>
      <c r="S1268" s="37"/>
    </row>
    <row r="1269" spans="3:19" x14ac:dyDescent="0.25">
      <c r="C1269" s="696">
        <v>37</v>
      </c>
      <c r="D1269" s="697" t="s">
        <v>69</v>
      </c>
      <c r="E1269" s="698" t="s">
        <v>22</v>
      </c>
      <c r="F1269" s="699" t="s">
        <v>22</v>
      </c>
      <c r="G1269" s="29" t="s">
        <v>14</v>
      </c>
      <c r="H1269" s="33">
        <v>46083</v>
      </c>
      <c r="I1269" s="700"/>
      <c r="J1269" s="701">
        <v>0.20912037037037037</v>
      </c>
      <c r="K1269" s="702"/>
      <c r="L1269" s="702"/>
      <c r="M1269" s="703">
        <v>2</v>
      </c>
      <c r="N1269" s="704"/>
      <c r="O1269" s="704"/>
      <c r="P1269" s="705"/>
      <c r="Q1269" s="26"/>
      <c r="R1269" s="26"/>
      <c r="S1269" s="37"/>
    </row>
    <row r="1270" spans="3:19" x14ac:dyDescent="0.25">
      <c r="C1270" s="696">
        <v>37</v>
      </c>
      <c r="D1270" s="697" t="s">
        <v>69</v>
      </c>
      <c r="E1270" s="698" t="s">
        <v>22</v>
      </c>
      <c r="F1270" s="699" t="s">
        <v>22</v>
      </c>
      <c r="G1270" s="39" t="s">
        <v>15</v>
      </c>
      <c r="H1270" s="33">
        <v>46084</v>
      </c>
      <c r="I1270" s="707">
        <v>0.78696759259259252</v>
      </c>
      <c r="J1270" s="701">
        <v>0.21417824074074074</v>
      </c>
      <c r="K1270" s="702"/>
      <c r="L1270" s="702"/>
      <c r="M1270" s="703">
        <v>2</v>
      </c>
      <c r="N1270" s="704"/>
      <c r="O1270" s="704"/>
      <c r="P1270" s="705"/>
      <c r="Q1270" s="26"/>
      <c r="R1270" s="26"/>
      <c r="S1270" s="37"/>
    </row>
    <row r="1271" spans="3:19" x14ac:dyDescent="0.25">
      <c r="C1271" s="696">
        <v>37</v>
      </c>
      <c r="D1271" s="697" t="s">
        <v>69</v>
      </c>
      <c r="E1271" s="698" t="s">
        <v>22</v>
      </c>
      <c r="F1271" s="699" t="s">
        <v>22</v>
      </c>
      <c r="G1271" s="39" t="s">
        <v>16</v>
      </c>
      <c r="H1271" s="33">
        <v>46085</v>
      </c>
      <c r="I1271" s="707">
        <v>0.70309027777777777</v>
      </c>
      <c r="J1271" s="701">
        <v>5.5821759259259258E-2</v>
      </c>
      <c r="K1271" s="702"/>
      <c r="L1271" s="702"/>
      <c r="M1271" s="703"/>
      <c r="N1271" s="704"/>
      <c r="O1271" s="704"/>
      <c r="P1271" s="705"/>
      <c r="Q1271" s="26"/>
      <c r="R1271" s="26"/>
      <c r="S1271" s="37"/>
    </row>
    <row r="1272" spans="3:19" x14ac:dyDescent="0.25">
      <c r="C1272" s="696">
        <v>37</v>
      </c>
      <c r="D1272" s="697" t="s">
        <v>69</v>
      </c>
      <c r="E1272" s="698" t="s">
        <v>22</v>
      </c>
      <c r="F1272" s="699" t="s">
        <v>22</v>
      </c>
      <c r="G1272" s="39" t="s">
        <v>17</v>
      </c>
      <c r="H1272" s="33">
        <v>46086</v>
      </c>
      <c r="I1272" s="707">
        <v>0.7826157407407407</v>
      </c>
      <c r="J1272" s="701">
        <v>0.21173611111111112</v>
      </c>
      <c r="K1272" s="702"/>
      <c r="L1272" s="702"/>
      <c r="M1272" s="703">
        <v>2</v>
      </c>
      <c r="N1272" s="704"/>
      <c r="O1272" s="704"/>
      <c r="P1272" s="705"/>
      <c r="Q1272" s="26"/>
      <c r="R1272" s="26"/>
      <c r="S1272" s="37"/>
    </row>
    <row r="1273" spans="3:19" x14ac:dyDescent="0.25">
      <c r="C1273" s="696">
        <v>37</v>
      </c>
      <c r="D1273" s="697" t="s">
        <v>69</v>
      </c>
      <c r="E1273" s="708" t="s">
        <v>22</v>
      </c>
      <c r="F1273" s="709" t="s">
        <v>22</v>
      </c>
      <c r="G1273" s="45" t="s">
        <v>18</v>
      </c>
      <c r="H1273" s="33">
        <v>46087</v>
      </c>
      <c r="I1273" s="707">
        <v>0.70317129629629627</v>
      </c>
      <c r="J1273" s="701">
        <v>0.20954861111111112</v>
      </c>
      <c r="K1273" s="702"/>
      <c r="L1273" s="702"/>
      <c r="M1273" s="703"/>
      <c r="N1273" s="704"/>
      <c r="O1273" s="704"/>
      <c r="P1273" s="705"/>
      <c r="Q1273" s="26"/>
      <c r="R1273" s="26"/>
      <c r="S1273" s="37"/>
    </row>
    <row r="1274" spans="3:19" x14ac:dyDescent="0.25">
      <c r="C1274" s="696">
        <v>37</v>
      </c>
      <c r="D1274" s="697" t="s">
        <v>69</v>
      </c>
      <c r="E1274" s="708" t="s">
        <v>22</v>
      </c>
      <c r="F1274" s="709" t="s">
        <v>22</v>
      </c>
      <c r="G1274" s="39" t="s">
        <v>19</v>
      </c>
      <c r="H1274" s="33">
        <v>46088</v>
      </c>
      <c r="I1274" s="707">
        <v>0.53711805555555558</v>
      </c>
      <c r="J1274" s="701">
        <v>0.66681712962962969</v>
      </c>
      <c r="K1274" s="702"/>
      <c r="L1274" s="702"/>
      <c r="M1274" s="703"/>
      <c r="N1274" s="704"/>
      <c r="O1274" s="704"/>
      <c r="P1274" s="705"/>
      <c r="Q1274" s="26"/>
      <c r="R1274" s="26"/>
      <c r="S1274" s="37"/>
    </row>
    <row r="1275" spans="3:19" x14ac:dyDescent="0.25">
      <c r="C1275" s="696">
        <v>37</v>
      </c>
      <c r="D1275" s="697" t="s">
        <v>69</v>
      </c>
      <c r="E1275" s="708"/>
      <c r="F1275" s="709"/>
      <c r="G1275" s="46" t="s">
        <v>13</v>
      </c>
      <c r="H1275" s="33">
        <v>46089</v>
      </c>
      <c r="I1275" s="700"/>
      <c r="K1275" s="702"/>
      <c r="L1275" s="702"/>
      <c r="M1275" s="703"/>
      <c r="N1275" s="704"/>
      <c r="O1275" s="704"/>
      <c r="P1275" s="705"/>
      <c r="Q1275" s="26"/>
      <c r="R1275" s="26"/>
      <c r="S1275" s="37"/>
    </row>
    <row r="1276" spans="3:19" x14ac:dyDescent="0.25">
      <c r="C1276" s="696">
        <v>37</v>
      </c>
      <c r="D1276" s="697" t="s">
        <v>69</v>
      </c>
      <c r="E1276" s="708"/>
      <c r="F1276" s="709"/>
      <c r="G1276" s="39" t="s">
        <v>14</v>
      </c>
      <c r="H1276" s="33">
        <v>46090</v>
      </c>
      <c r="I1276" s="321">
        <v>0.35416666666666669</v>
      </c>
      <c r="J1276" s="707">
        <v>0.80780092592592589</v>
      </c>
      <c r="K1276" s="702"/>
      <c r="L1276" s="702"/>
      <c r="M1276" s="703"/>
      <c r="N1276" s="704"/>
      <c r="O1276" s="704"/>
      <c r="P1276" s="705"/>
      <c r="Q1276" s="26"/>
      <c r="R1276" s="26"/>
      <c r="S1276" s="37"/>
    </row>
    <row r="1277" spans="3:19" x14ac:dyDescent="0.25">
      <c r="C1277" s="696">
        <v>37</v>
      </c>
      <c r="D1277" s="697" t="s">
        <v>69</v>
      </c>
      <c r="E1277" s="708"/>
      <c r="F1277" s="709"/>
      <c r="G1277" s="39" t="s">
        <v>15</v>
      </c>
      <c r="H1277" s="33">
        <v>46091</v>
      </c>
      <c r="I1277" s="706">
        <v>0.29390046296296296</v>
      </c>
      <c r="J1277" s="701"/>
      <c r="K1277" s="702"/>
      <c r="L1277" s="702"/>
      <c r="M1277" s="703"/>
      <c r="N1277" s="704"/>
      <c r="O1277" s="704"/>
      <c r="P1277" s="705"/>
      <c r="Q1277" s="26"/>
      <c r="R1277" s="26"/>
      <c r="S1277" s="37"/>
    </row>
    <row r="1278" spans="3:19" x14ac:dyDescent="0.25">
      <c r="C1278" s="696">
        <v>37</v>
      </c>
      <c r="D1278" s="697" t="s">
        <v>69</v>
      </c>
      <c r="E1278" s="708"/>
      <c r="F1278" s="709"/>
      <c r="G1278" s="39" t="s">
        <v>16</v>
      </c>
      <c r="H1278" s="33">
        <v>46092</v>
      </c>
      <c r="I1278" s="707">
        <v>0.31935185185185183</v>
      </c>
      <c r="J1278" s="701">
        <v>0.71229166666666666</v>
      </c>
      <c r="K1278" s="702"/>
      <c r="L1278" s="702"/>
      <c r="M1278" s="703"/>
      <c r="N1278" s="704"/>
      <c r="O1278" s="704"/>
      <c r="P1278" s="705"/>
      <c r="Q1278" s="26"/>
      <c r="R1278" s="26"/>
      <c r="S1278" s="37"/>
    </row>
    <row r="1279" spans="3:19" x14ac:dyDescent="0.25">
      <c r="C1279" s="696">
        <v>37</v>
      </c>
      <c r="D1279" s="697" t="s">
        <v>69</v>
      </c>
      <c r="E1279" s="708" t="s">
        <v>22</v>
      </c>
      <c r="F1279" s="709" t="s">
        <v>22</v>
      </c>
      <c r="G1279" s="39" t="s">
        <v>17</v>
      </c>
      <c r="H1279" s="33">
        <v>46093</v>
      </c>
      <c r="I1279" s="707">
        <v>0.3321527777777778</v>
      </c>
      <c r="J1279" s="701">
        <v>0.71398148148148144</v>
      </c>
      <c r="K1279" s="702"/>
      <c r="L1279" s="702"/>
      <c r="M1279" s="703"/>
      <c r="N1279" s="704"/>
      <c r="O1279" s="704"/>
      <c r="P1279" s="705"/>
      <c r="Q1279" s="26"/>
      <c r="R1279" s="26"/>
      <c r="S1279" s="37"/>
    </row>
    <row r="1280" spans="3:19" x14ac:dyDescent="0.25">
      <c r="C1280" s="696">
        <v>37</v>
      </c>
      <c r="D1280" s="697" t="s">
        <v>69</v>
      </c>
      <c r="E1280" s="708" t="s">
        <v>22</v>
      </c>
      <c r="F1280" s="709" t="s">
        <v>22</v>
      </c>
      <c r="G1280" s="48" t="s">
        <v>18</v>
      </c>
      <c r="H1280" s="33">
        <v>46094</v>
      </c>
      <c r="I1280" s="706">
        <v>0.28484953703703703</v>
      </c>
      <c r="J1280" s="701">
        <v>0.71531250000000002</v>
      </c>
      <c r="K1280" s="702"/>
      <c r="L1280" s="702"/>
      <c r="M1280" s="703"/>
      <c r="N1280" s="704"/>
      <c r="O1280" s="704"/>
      <c r="P1280" s="705"/>
      <c r="Q1280" s="26"/>
      <c r="R1280" s="26"/>
      <c r="S1280" s="37"/>
    </row>
    <row r="1281" spans="3:19" x14ac:dyDescent="0.25">
      <c r="C1281" s="696">
        <v>37</v>
      </c>
      <c r="D1281" s="697" t="s">
        <v>69</v>
      </c>
      <c r="E1281" s="708" t="s">
        <v>22</v>
      </c>
      <c r="F1281" s="709" t="s">
        <v>22</v>
      </c>
      <c r="G1281" s="39" t="s">
        <v>19</v>
      </c>
      <c r="H1281" s="33">
        <v>46095</v>
      </c>
      <c r="I1281" s="707">
        <v>0.30942129629629628</v>
      </c>
      <c r="J1281" s="701"/>
      <c r="K1281" s="702"/>
      <c r="L1281" s="702"/>
      <c r="M1281" s="703"/>
      <c r="N1281" s="704"/>
      <c r="O1281" s="704"/>
      <c r="P1281" s="705"/>
      <c r="Q1281" s="26"/>
      <c r="R1281" s="26"/>
      <c r="S1281" s="37"/>
    </row>
    <row r="1282" spans="3:19" x14ac:dyDescent="0.25">
      <c r="C1282" s="696">
        <v>37</v>
      </c>
      <c r="D1282" s="697" t="s">
        <v>69</v>
      </c>
      <c r="E1282" s="708" t="s">
        <v>22</v>
      </c>
      <c r="F1282" s="709" t="s">
        <v>22</v>
      </c>
      <c r="G1282" s="46" t="s">
        <v>13</v>
      </c>
      <c r="H1282" s="33">
        <v>46096</v>
      </c>
      <c r="I1282" s="707"/>
      <c r="J1282" s="701"/>
      <c r="K1282" s="702"/>
      <c r="L1282" s="702"/>
      <c r="M1282" s="703"/>
      <c r="N1282" s="704"/>
      <c r="O1282" s="704"/>
      <c r="P1282" s="44"/>
      <c r="Q1282" s="26"/>
      <c r="R1282" s="26"/>
      <c r="S1282" s="37"/>
    </row>
    <row r="1283" spans="3:19" x14ac:dyDescent="0.25">
      <c r="C1283" s="696">
        <v>37</v>
      </c>
      <c r="D1283" s="697" t="s">
        <v>69</v>
      </c>
      <c r="E1283" s="708" t="s">
        <v>22</v>
      </c>
      <c r="F1283" s="709" t="s">
        <v>22</v>
      </c>
      <c r="G1283" s="39" t="s">
        <v>14</v>
      </c>
      <c r="H1283" s="33">
        <v>46097</v>
      </c>
      <c r="I1283" s="700"/>
      <c r="J1283" s="701"/>
      <c r="K1283" s="702"/>
      <c r="L1283" s="702"/>
      <c r="M1283" s="703"/>
      <c r="N1283" s="704"/>
      <c r="O1283" s="704"/>
      <c r="P1283" s="705"/>
      <c r="Q1283" s="26"/>
      <c r="R1283" s="26"/>
      <c r="S1283" s="37"/>
    </row>
    <row r="1284" spans="3:19" x14ac:dyDescent="0.25">
      <c r="C1284" s="696">
        <v>37</v>
      </c>
      <c r="D1284" s="697" t="s">
        <v>69</v>
      </c>
      <c r="E1284" s="708" t="s">
        <v>22</v>
      </c>
      <c r="F1284" s="709" t="s">
        <v>22</v>
      </c>
      <c r="G1284" s="39" t="s">
        <v>15</v>
      </c>
      <c r="H1284" s="33">
        <v>46098</v>
      </c>
      <c r="I1284" s="700"/>
      <c r="J1284" s="701"/>
      <c r="K1284" s="702"/>
      <c r="L1284" s="702"/>
      <c r="M1284" s="703"/>
      <c r="N1284" s="704"/>
      <c r="O1284" s="704"/>
      <c r="P1284" s="705"/>
      <c r="Q1284" s="26"/>
      <c r="R1284" s="26"/>
      <c r="S1284" s="37"/>
    </row>
    <row r="1285" spans="3:19" x14ac:dyDescent="0.25">
      <c r="C1285" s="696">
        <v>37</v>
      </c>
      <c r="D1285" s="697" t="s">
        <v>69</v>
      </c>
      <c r="E1285" s="708" t="s">
        <v>22</v>
      </c>
      <c r="F1285" s="709" t="s">
        <v>22</v>
      </c>
      <c r="G1285" s="39" t="s">
        <v>16</v>
      </c>
      <c r="H1285" s="33">
        <v>46099</v>
      </c>
      <c r="I1285" s="706"/>
      <c r="J1285" s="701"/>
      <c r="K1285" s="702"/>
      <c r="L1285" s="702"/>
      <c r="M1285" s="703"/>
      <c r="N1285" s="704"/>
      <c r="O1285" s="704"/>
      <c r="P1285" s="705"/>
      <c r="Q1285" s="26"/>
      <c r="R1285" s="26"/>
      <c r="S1285" s="37"/>
    </row>
    <row r="1286" spans="3:19" x14ac:dyDescent="0.25">
      <c r="C1286" s="696">
        <v>37</v>
      </c>
      <c r="D1286" s="697" t="s">
        <v>69</v>
      </c>
      <c r="E1286" s="708" t="s">
        <v>22</v>
      </c>
      <c r="F1286" s="709" t="s">
        <v>22</v>
      </c>
      <c r="G1286" s="39" t="s">
        <v>17</v>
      </c>
      <c r="H1286" s="33">
        <v>46100</v>
      </c>
      <c r="I1286" s="706"/>
      <c r="J1286" s="701"/>
      <c r="K1286" s="702"/>
      <c r="L1286" s="702"/>
      <c r="M1286" s="703"/>
      <c r="N1286" s="704"/>
      <c r="O1286" s="704"/>
      <c r="P1286" s="705"/>
      <c r="Q1286" s="26"/>
      <c r="R1286" s="26"/>
      <c r="S1286" s="37"/>
    </row>
    <row r="1287" spans="3:19" x14ac:dyDescent="0.25">
      <c r="C1287" s="696">
        <v>37</v>
      </c>
      <c r="D1287" s="697" t="s">
        <v>69</v>
      </c>
      <c r="E1287" s="708" t="s">
        <v>22</v>
      </c>
      <c r="F1287" s="709" t="s">
        <v>22</v>
      </c>
      <c r="G1287" s="39" t="s">
        <v>18</v>
      </c>
      <c r="H1287" s="33">
        <v>46101</v>
      </c>
      <c r="I1287" s="707"/>
      <c r="J1287" s="701"/>
      <c r="K1287" s="702"/>
      <c r="L1287" s="702"/>
      <c r="M1287" s="703"/>
      <c r="N1287" s="704"/>
      <c r="O1287" s="704"/>
      <c r="P1287" s="705"/>
      <c r="Q1287" s="26"/>
      <c r="R1287" s="26"/>
      <c r="S1287" s="37"/>
    </row>
    <row r="1288" spans="3:19" x14ac:dyDescent="0.25">
      <c r="C1288" s="696">
        <v>37</v>
      </c>
      <c r="D1288" s="697" t="s">
        <v>69</v>
      </c>
      <c r="E1288" s="708" t="s">
        <v>22</v>
      </c>
      <c r="F1288" s="709" t="s">
        <v>22</v>
      </c>
      <c r="G1288" s="39" t="s">
        <v>19</v>
      </c>
      <c r="H1288" s="33">
        <v>46102</v>
      </c>
      <c r="I1288" s="707"/>
      <c r="J1288" s="701"/>
      <c r="K1288" s="702"/>
      <c r="L1288" s="702"/>
      <c r="M1288" s="703"/>
      <c r="N1288" s="704"/>
      <c r="O1288" s="704"/>
      <c r="P1288" s="705"/>
      <c r="Q1288" s="26"/>
      <c r="R1288" s="26"/>
      <c r="S1288" s="37"/>
    </row>
    <row r="1289" spans="3:19" x14ac:dyDescent="0.25">
      <c r="C1289" s="696">
        <v>37</v>
      </c>
      <c r="D1289" s="697" t="s">
        <v>69</v>
      </c>
      <c r="E1289" s="708"/>
      <c r="F1289" s="709"/>
      <c r="G1289" s="46" t="s">
        <v>13</v>
      </c>
      <c r="H1289" s="33">
        <v>46103</v>
      </c>
      <c r="I1289" s="707"/>
      <c r="J1289" s="701"/>
      <c r="K1289" s="702"/>
      <c r="L1289" s="702"/>
      <c r="M1289" s="703"/>
      <c r="N1289" s="704"/>
      <c r="O1289" s="704"/>
      <c r="P1289" s="705"/>
      <c r="Q1289" s="26"/>
      <c r="R1289" s="26"/>
      <c r="S1289" s="37"/>
    </row>
    <row r="1290" spans="3:19" x14ac:dyDescent="0.25">
      <c r="C1290" s="696">
        <v>37</v>
      </c>
      <c r="D1290" s="697" t="s">
        <v>69</v>
      </c>
      <c r="E1290" s="708"/>
      <c r="F1290" s="709"/>
      <c r="G1290" s="39" t="s">
        <v>14</v>
      </c>
      <c r="H1290" s="33">
        <v>46104</v>
      </c>
      <c r="I1290" s="706"/>
      <c r="J1290" s="701"/>
      <c r="K1290" s="702"/>
      <c r="L1290" s="702"/>
      <c r="M1290" s="703"/>
      <c r="N1290" s="704"/>
      <c r="O1290" s="704"/>
      <c r="P1290" s="705"/>
      <c r="Q1290" s="26"/>
      <c r="R1290" s="26"/>
      <c r="S1290" s="37"/>
    </row>
    <row r="1291" spans="3:19" x14ac:dyDescent="0.25">
      <c r="C1291" s="696">
        <v>37</v>
      </c>
      <c r="D1291" s="697" t="s">
        <v>69</v>
      </c>
      <c r="E1291" s="708"/>
      <c r="F1291" s="709"/>
      <c r="G1291" s="39" t="s">
        <v>15</v>
      </c>
      <c r="H1291" s="33">
        <v>46105</v>
      </c>
      <c r="I1291" s="707"/>
      <c r="J1291" s="701"/>
      <c r="K1291" s="702"/>
      <c r="L1291" s="702"/>
      <c r="M1291" s="703"/>
      <c r="N1291" s="704"/>
      <c r="O1291" s="704"/>
      <c r="P1291" s="705"/>
      <c r="Q1291" s="26"/>
      <c r="R1291" s="26"/>
      <c r="S1291" s="37"/>
    </row>
    <row r="1292" spans="3:19" x14ac:dyDescent="0.25">
      <c r="C1292" s="696">
        <v>37</v>
      </c>
      <c r="D1292" s="697" t="s">
        <v>69</v>
      </c>
      <c r="E1292" s="708"/>
      <c r="F1292" s="709"/>
      <c r="G1292" s="39" t="s">
        <v>16</v>
      </c>
      <c r="H1292" s="33">
        <v>46106</v>
      </c>
      <c r="I1292" s="707"/>
      <c r="J1292" s="701"/>
      <c r="K1292" s="702"/>
      <c r="L1292" s="702"/>
      <c r="M1292" s="703"/>
      <c r="N1292" s="704"/>
      <c r="O1292" s="704"/>
      <c r="P1292" s="705"/>
      <c r="Q1292" s="26"/>
      <c r="R1292" s="26"/>
      <c r="S1292" s="37"/>
    </row>
    <row r="1293" spans="3:19" x14ac:dyDescent="0.25">
      <c r="C1293" s="696">
        <v>37</v>
      </c>
      <c r="D1293" s="697" t="s">
        <v>69</v>
      </c>
      <c r="E1293" s="708"/>
      <c r="F1293" s="709"/>
      <c r="G1293" s="39" t="s">
        <v>17</v>
      </c>
      <c r="H1293" s="33">
        <v>46107</v>
      </c>
      <c r="I1293" s="706"/>
      <c r="J1293" s="701"/>
      <c r="K1293" s="702"/>
      <c r="L1293" s="702"/>
      <c r="M1293" s="703"/>
      <c r="N1293" s="704"/>
      <c r="O1293" s="704"/>
      <c r="P1293" s="705"/>
      <c r="Q1293" s="26"/>
      <c r="R1293" s="26"/>
      <c r="S1293" s="37"/>
    </row>
    <row r="1294" spans="3:19" x14ac:dyDescent="0.25">
      <c r="C1294" s="696">
        <v>37</v>
      </c>
      <c r="D1294" s="697" t="s">
        <v>69</v>
      </c>
      <c r="E1294" s="708"/>
      <c r="F1294" s="709"/>
      <c r="G1294" s="39" t="s">
        <v>18</v>
      </c>
      <c r="H1294" s="33">
        <v>46108</v>
      </c>
      <c r="I1294" s="707"/>
      <c r="J1294" s="701"/>
      <c r="K1294" s="702"/>
      <c r="L1294" s="702"/>
      <c r="M1294" s="703"/>
      <c r="N1294" s="704"/>
      <c r="O1294" s="704"/>
      <c r="P1294" s="705"/>
      <c r="Q1294" s="26"/>
      <c r="R1294" s="26"/>
      <c r="S1294" s="37"/>
    </row>
    <row r="1295" spans="3:19" x14ac:dyDescent="0.25">
      <c r="C1295" s="696">
        <v>37</v>
      </c>
      <c r="D1295" s="697" t="s">
        <v>69</v>
      </c>
      <c r="E1295" s="708"/>
      <c r="F1295" s="709"/>
      <c r="G1295" s="39" t="s">
        <v>19</v>
      </c>
      <c r="H1295" s="33">
        <v>46109</v>
      </c>
      <c r="I1295" s="707"/>
      <c r="J1295" s="701"/>
      <c r="K1295" s="702"/>
      <c r="L1295" s="702"/>
      <c r="M1295" s="703"/>
      <c r="N1295" s="704"/>
      <c r="O1295" s="704"/>
      <c r="P1295" s="705"/>
      <c r="Q1295" s="26"/>
      <c r="R1295" s="26"/>
      <c r="S1295" s="37"/>
    </row>
    <row r="1296" spans="3:19" x14ac:dyDescent="0.25">
      <c r="C1296" s="696">
        <v>37</v>
      </c>
      <c r="D1296" s="697" t="s">
        <v>69</v>
      </c>
      <c r="E1296" s="708"/>
      <c r="F1296" s="709"/>
      <c r="G1296" s="46" t="s">
        <v>13</v>
      </c>
      <c r="H1296" s="33">
        <v>46110</v>
      </c>
      <c r="I1296" s="707"/>
      <c r="J1296" s="701"/>
      <c r="K1296" s="702"/>
      <c r="L1296" s="702"/>
      <c r="M1296" s="703"/>
      <c r="N1296" s="704"/>
      <c r="O1296" s="704"/>
      <c r="P1296" s="705"/>
      <c r="Q1296" s="26"/>
      <c r="R1296" s="26"/>
      <c r="S1296" s="37"/>
    </row>
    <row r="1297" spans="3:19" x14ac:dyDescent="0.25">
      <c r="C1297" s="696">
        <v>37</v>
      </c>
      <c r="D1297" s="697" t="s">
        <v>69</v>
      </c>
      <c r="E1297" s="708"/>
      <c r="F1297" s="709"/>
      <c r="G1297" s="39" t="s">
        <v>14</v>
      </c>
      <c r="H1297" s="33">
        <v>46111</v>
      </c>
      <c r="I1297" s="707"/>
      <c r="J1297" s="701"/>
      <c r="K1297" s="702"/>
      <c r="L1297" s="702"/>
      <c r="M1297" s="703"/>
      <c r="N1297" s="704"/>
      <c r="O1297" s="704"/>
      <c r="P1297" s="705"/>
      <c r="Q1297" s="26"/>
      <c r="R1297" s="26"/>
      <c r="S1297" s="37"/>
    </row>
    <row r="1298" spans="3:19" x14ac:dyDescent="0.25">
      <c r="C1298" s="696">
        <v>37</v>
      </c>
      <c r="D1298" s="697" t="s">
        <v>69</v>
      </c>
      <c r="E1298" s="708"/>
      <c r="F1298" s="709"/>
      <c r="G1298" s="39" t="s">
        <v>15</v>
      </c>
      <c r="H1298" s="33">
        <v>46112</v>
      </c>
      <c r="I1298" s="707"/>
      <c r="J1298" s="701"/>
      <c r="K1298" s="702"/>
      <c r="L1298" s="702"/>
      <c r="M1298" s="703"/>
      <c r="N1298" s="704"/>
      <c r="O1298" s="704"/>
      <c r="P1298" s="705"/>
      <c r="Q1298" s="26"/>
      <c r="R1298" s="26"/>
      <c r="S1298" s="37"/>
    </row>
    <row r="1299" spans="3:19" x14ac:dyDescent="0.25">
      <c r="C1299" s="696"/>
      <c r="D1299" s="697"/>
      <c r="E1299" s="708"/>
      <c r="F1299" s="709"/>
      <c r="G1299" s="39"/>
      <c r="H1299" s="33"/>
      <c r="I1299" s="711"/>
      <c r="J1299" s="711"/>
      <c r="K1299" s="712"/>
      <c r="L1299" s="712"/>
      <c r="M1299" s="713"/>
      <c r="N1299" s="714"/>
      <c r="O1299" s="714"/>
      <c r="P1299" s="715"/>
      <c r="Q1299" s="26"/>
      <c r="R1299" s="26"/>
      <c r="S1299" s="37"/>
    </row>
    <row r="1300" spans="3:19" x14ac:dyDescent="0.25">
      <c r="C1300" s="716"/>
      <c r="D1300" s="717"/>
      <c r="E1300" s="718"/>
      <c r="F1300" s="718"/>
      <c r="G1300" s="719"/>
      <c r="H1300" s="720"/>
      <c r="I1300" s="721" t="str">
        <f>D1271</f>
        <v>syaebudi</v>
      </c>
      <c r="J1300" s="722" t="s">
        <v>20</v>
      </c>
      <c r="K1300" s="723"/>
      <c r="L1300" s="723"/>
      <c r="M1300" s="724">
        <f>SUM(M1268:M1299)</f>
        <v>6</v>
      </c>
      <c r="N1300" s="724">
        <f t="shared" ref="N1300:O1300" si="31">SUM(N1268:N1299)</f>
        <v>0</v>
      </c>
      <c r="O1300" s="724">
        <f t="shared" si="31"/>
        <v>0</v>
      </c>
      <c r="P1300" s="725"/>
      <c r="Q1300" s="26"/>
      <c r="R1300" s="26"/>
      <c r="S1300" s="37"/>
    </row>
    <row r="1301" spans="3:19" x14ac:dyDescent="0.2">
      <c r="C1301" s="660"/>
      <c r="D1301" s="661"/>
      <c r="E1301" s="662"/>
      <c r="F1301" s="662"/>
      <c r="G1301" s="663"/>
      <c r="H1301" s="664"/>
      <c r="I1301" s="665"/>
      <c r="J1301" s="665"/>
      <c r="K1301" s="664"/>
      <c r="L1301" s="664"/>
      <c r="M1301" s="664"/>
      <c r="N1301" s="666"/>
      <c r="O1301" s="666"/>
      <c r="P1301" s="667"/>
      <c r="Q1301" s="26"/>
      <c r="R1301" s="26"/>
      <c r="S1301" s="37"/>
    </row>
    <row r="1302" spans="3:19" x14ac:dyDescent="0.25">
      <c r="C1302" s="365" t="s">
        <v>1</v>
      </c>
      <c r="D1302" s="668" t="s">
        <v>2</v>
      </c>
      <c r="E1302" s="669" t="s">
        <v>3</v>
      </c>
      <c r="F1302" s="669" t="s">
        <v>4</v>
      </c>
      <c r="G1302" s="670" t="s">
        <v>5</v>
      </c>
      <c r="H1302" s="669" t="s">
        <v>6</v>
      </c>
      <c r="I1302" s="671" t="s">
        <v>7</v>
      </c>
      <c r="J1302" s="671" t="s">
        <v>8</v>
      </c>
      <c r="K1302" s="672"/>
      <c r="L1302" s="673"/>
      <c r="M1302" s="673" t="s">
        <v>9</v>
      </c>
      <c r="N1302" s="674" t="s">
        <v>10</v>
      </c>
      <c r="O1302" s="674" t="s">
        <v>11</v>
      </c>
      <c r="P1302" s="715"/>
      <c r="Q1302" s="26"/>
      <c r="R1302" s="26"/>
      <c r="S1302" s="37"/>
    </row>
    <row r="1303" spans="3:19" x14ac:dyDescent="0.25">
      <c r="C1303" s="696">
        <v>38</v>
      </c>
      <c r="D1303" s="697" t="s">
        <v>70</v>
      </c>
      <c r="E1303" s="708" t="s">
        <v>22</v>
      </c>
      <c r="F1303" s="709" t="s">
        <v>22</v>
      </c>
      <c r="G1303" s="32" t="s">
        <v>13</v>
      </c>
      <c r="H1303" s="33">
        <v>46082</v>
      </c>
      <c r="I1303" s="700"/>
      <c r="J1303" s="701"/>
      <c r="K1303" s="702"/>
      <c r="L1303" s="702"/>
      <c r="M1303" s="703"/>
      <c r="N1303" s="704"/>
      <c r="O1303" s="704"/>
      <c r="P1303" s="705"/>
      <c r="Q1303" s="26"/>
      <c r="R1303" s="26"/>
      <c r="S1303" s="37"/>
    </row>
    <row r="1304" spans="3:19" x14ac:dyDescent="0.25">
      <c r="C1304" s="696">
        <v>38</v>
      </c>
      <c r="D1304" s="697" t="s">
        <v>70</v>
      </c>
      <c r="E1304" s="708" t="s">
        <v>22</v>
      </c>
      <c r="F1304" s="709" t="s">
        <v>22</v>
      </c>
      <c r="G1304" s="29" t="s">
        <v>14</v>
      </c>
      <c r="H1304" s="33">
        <v>46083</v>
      </c>
      <c r="I1304" s="706">
        <v>0.33001157407407405</v>
      </c>
      <c r="J1304" s="701"/>
      <c r="K1304" s="702"/>
      <c r="L1304" s="702"/>
      <c r="M1304" s="703"/>
      <c r="N1304" s="704"/>
      <c r="O1304" s="704"/>
      <c r="P1304" s="705"/>
      <c r="Q1304" s="26"/>
      <c r="R1304" s="26"/>
      <c r="S1304" s="37"/>
    </row>
    <row r="1305" spans="3:19" x14ac:dyDescent="0.25">
      <c r="C1305" s="696">
        <v>38</v>
      </c>
      <c r="D1305" s="697" t="s">
        <v>70</v>
      </c>
      <c r="E1305" s="708" t="s">
        <v>22</v>
      </c>
      <c r="F1305" s="709" t="s">
        <v>22</v>
      </c>
      <c r="G1305" s="39" t="s">
        <v>15</v>
      </c>
      <c r="H1305" s="33">
        <v>46084</v>
      </c>
      <c r="I1305" s="707">
        <v>0.33314814814814814</v>
      </c>
      <c r="J1305" s="701">
        <v>0.81211805555555561</v>
      </c>
      <c r="K1305" s="702"/>
      <c r="L1305" s="702"/>
      <c r="M1305" s="703">
        <v>2</v>
      </c>
      <c r="N1305" s="704"/>
      <c r="O1305" s="704"/>
      <c r="P1305" s="705"/>
      <c r="Q1305" s="26"/>
      <c r="R1305" s="26"/>
      <c r="S1305" s="37"/>
    </row>
    <row r="1306" spans="3:19" x14ac:dyDescent="0.25">
      <c r="C1306" s="696">
        <v>38</v>
      </c>
      <c r="D1306" s="697" t="s">
        <v>70</v>
      </c>
      <c r="E1306" s="708" t="s">
        <v>22</v>
      </c>
      <c r="F1306" s="709" t="s">
        <v>22</v>
      </c>
      <c r="G1306" s="39" t="s">
        <v>16</v>
      </c>
      <c r="H1306" s="33">
        <v>46085</v>
      </c>
      <c r="I1306" s="707">
        <v>0.33019675925925923</v>
      </c>
      <c r="J1306" s="701">
        <v>0.80379629629629623</v>
      </c>
      <c r="K1306" s="702"/>
      <c r="L1306" s="702"/>
      <c r="M1306" s="703">
        <v>2</v>
      </c>
      <c r="N1306" s="704"/>
      <c r="O1306" s="704"/>
      <c r="P1306" s="705"/>
      <c r="Q1306" s="26"/>
      <c r="R1306" s="26"/>
      <c r="S1306" s="37"/>
    </row>
    <row r="1307" spans="3:19" x14ac:dyDescent="0.25">
      <c r="C1307" s="696">
        <v>38</v>
      </c>
      <c r="D1307" s="697" t="s">
        <v>70</v>
      </c>
      <c r="E1307" s="708" t="s">
        <v>22</v>
      </c>
      <c r="F1307" s="709" t="s">
        <v>22</v>
      </c>
      <c r="G1307" s="39" t="s">
        <v>17</v>
      </c>
      <c r="H1307" s="33">
        <v>46086</v>
      </c>
      <c r="I1307" s="707">
        <v>0.33005787037037038</v>
      </c>
      <c r="J1307" s="701">
        <v>0.80600694444444443</v>
      </c>
      <c r="K1307" s="702"/>
      <c r="L1307" s="702"/>
      <c r="M1307" s="703">
        <v>2</v>
      </c>
      <c r="N1307" s="704"/>
      <c r="O1307" s="704"/>
      <c r="P1307" s="705"/>
      <c r="Q1307" s="26"/>
      <c r="R1307" s="26"/>
      <c r="S1307" s="37"/>
    </row>
    <row r="1308" spans="3:19" x14ac:dyDescent="0.25">
      <c r="C1308" s="696">
        <v>38</v>
      </c>
      <c r="D1308" s="697" t="s">
        <v>70</v>
      </c>
      <c r="E1308" s="708" t="s">
        <v>22</v>
      </c>
      <c r="F1308" s="709" t="s">
        <v>22</v>
      </c>
      <c r="G1308" s="45" t="s">
        <v>18</v>
      </c>
      <c r="H1308" s="33">
        <v>46087</v>
      </c>
      <c r="I1308" s="707"/>
      <c r="J1308" s="701"/>
      <c r="K1308" s="702"/>
      <c r="L1308" s="702"/>
      <c r="M1308" s="703"/>
      <c r="N1308" s="704"/>
      <c r="O1308" s="704"/>
      <c r="P1308" s="705"/>
      <c r="Q1308" s="26"/>
      <c r="R1308" s="26"/>
      <c r="S1308" s="37"/>
    </row>
    <row r="1309" spans="3:19" x14ac:dyDescent="0.25">
      <c r="C1309" s="696">
        <v>38</v>
      </c>
      <c r="D1309" s="697" t="s">
        <v>70</v>
      </c>
      <c r="E1309" s="708" t="s">
        <v>22</v>
      </c>
      <c r="F1309" s="709" t="s">
        <v>22</v>
      </c>
      <c r="G1309" s="39" t="s">
        <v>19</v>
      </c>
      <c r="H1309" s="33">
        <v>46088</v>
      </c>
      <c r="I1309" s="707">
        <v>0.33107638888888885</v>
      </c>
      <c r="J1309" s="701">
        <v>0.57873842592592595</v>
      </c>
      <c r="K1309" s="702"/>
      <c r="L1309" s="702"/>
      <c r="M1309" s="703"/>
      <c r="N1309" s="704"/>
      <c r="O1309" s="704"/>
      <c r="P1309" s="705"/>
      <c r="Q1309" s="26"/>
      <c r="R1309" s="26"/>
      <c r="S1309" s="37"/>
    </row>
    <row r="1310" spans="3:19" x14ac:dyDescent="0.25">
      <c r="C1310" s="696">
        <v>38</v>
      </c>
      <c r="D1310" s="697" t="s">
        <v>70</v>
      </c>
      <c r="E1310" s="708" t="s">
        <v>22</v>
      </c>
      <c r="F1310" s="709" t="s">
        <v>22</v>
      </c>
      <c r="G1310" s="46" t="s">
        <v>13</v>
      </c>
      <c r="H1310" s="33">
        <v>46089</v>
      </c>
      <c r="I1310" s="706">
        <v>0.33285879629629628</v>
      </c>
      <c r="J1310" s="5">
        <v>0.66714120370370367</v>
      </c>
      <c r="K1310" s="702"/>
      <c r="L1310" s="702"/>
      <c r="M1310" s="703"/>
      <c r="N1310" s="704"/>
      <c r="O1310" s="704">
        <v>1</v>
      </c>
      <c r="P1310" s="705"/>
      <c r="Q1310" s="26"/>
      <c r="R1310" s="26"/>
      <c r="S1310" s="37"/>
    </row>
    <row r="1311" spans="3:19" x14ac:dyDescent="0.25">
      <c r="C1311" s="696">
        <v>38</v>
      </c>
      <c r="D1311" s="697" t="s">
        <v>70</v>
      </c>
      <c r="E1311" s="708"/>
      <c r="F1311" s="709"/>
      <c r="G1311" s="39" t="s">
        <v>14</v>
      </c>
      <c r="H1311" s="33">
        <v>46090</v>
      </c>
      <c r="I1311" s="5">
        <v>0.78501157407407407</v>
      </c>
      <c r="J1311" s="707">
        <v>0.20871527777777776</v>
      </c>
      <c r="K1311" s="702"/>
      <c r="L1311" s="702"/>
      <c r="M1311" s="703"/>
      <c r="N1311" s="704"/>
      <c r="O1311" s="704"/>
      <c r="P1311" s="705"/>
      <c r="Q1311" s="26"/>
      <c r="R1311" s="26"/>
      <c r="S1311" s="37"/>
    </row>
    <row r="1312" spans="3:19" x14ac:dyDescent="0.25">
      <c r="C1312" s="696">
        <v>38</v>
      </c>
      <c r="D1312" s="697" t="s">
        <v>70</v>
      </c>
      <c r="E1312" s="708"/>
      <c r="F1312" s="709"/>
      <c r="G1312" s="39" t="s">
        <v>15</v>
      </c>
      <c r="H1312" s="33">
        <v>46091</v>
      </c>
      <c r="I1312" s="706">
        <v>0.78843750000000001</v>
      </c>
      <c r="J1312" s="701">
        <v>0.20868055555555556</v>
      </c>
      <c r="K1312" s="702"/>
      <c r="L1312" s="702"/>
      <c r="M1312" s="703"/>
      <c r="N1312" s="704"/>
      <c r="O1312" s="704"/>
      <c r="P1312" s="705"/>
      <c r="Q1312" s="26"/>
      <c r="R1312" s="26"/>
      <c r="S1312" s="37"/>
    </row>
    <row r="1313" spans="3:19" x14ac:dyDescent="0.25">
      <c r="C1313" s="696">
        <v>38</v>
      </c>
      <c r="D1313" s="697" t="s">
        <v>70</v>
      </c>
      <c r="E1313" s="708"/>
      <c r="F1313" s="709"/>
      <c r="G1313" s="39" t="s">
        <v>16</v>
      </c>
      <c r="H1313" s="33">
        <v>46092</v>
      </c>
      <c r="I1313" s="707">
        <v>0.78473379629629625</v>
      </c>
      <c r="J1313" s="701">
        <v>0.20850694444444443</v>
      </c>
      <c r="K1313" s="702"/>
      <c r="L1313" s="702"/>
      <c r="M1313" s="703"/>
      <c r="N1313" s="704"/>
      <c r="O1313" s="704"/>
      <c r="P1313" s="705"/>
      <c r="Q1313" s="26"/>
      <c r="R1313" s="26"/>
      <c r="S1313" s="37"/>
    </row>
    <row r="1314" spans="3:19" x14ac:dyDescent="0.25">
      <c r="C1314" s="696">
        <v>38</v>
      </c>
      <c r="D1314" s="697" t="s">
        <v>70</v>
      </c>
      <c r="E1314" s="708"/>
      <c r="F1314" s="709"/>
      <c r="G1314" s="39" t="s">
        <v>17</v>
      </c>
      <c r="H1314" s="33">
        <v>46093</v>
      </c>
      <c r="I1314" s="707">
        <v>0.69104166666666667</v>
      </c>
      <c r="J1314" s="701">
        <v>5.2511574074074079E-2</v>
      </c>
      <c r="K1314" s="702"/>
      <c r="L1314" s="702"/>
      <c r="M1314" s="703"/>
      <c r="N1314" s="704"/>
      <c r="O1314" s="704"/>
      <c r="P1314" s="705"/>
      <c r="Q1314" s="26"/>
      <c r="R1314" s="26"/>
      <c r="S1314" s="37"/>
    </row>
    <row r="1315" spans="3:19" x14ac:dyDescent="0.25">
      <c r="C1315" s="696">
        <v>38</v>
      </c>
      <c r="D1315" s="697" t="s">
        <v>70</v>
      </c>
      <c r="E1315" s="708"/>
      <c r="F1315" s="709"/>
      <c r="G1315" s="48" t="s">
        <v>18</v>
      </c>
      <c r="H1315" s="33">
        <v>46094</v>
      </c>
      <c r="I1315" s="706">
        <v>0.70326388888888891</v>
      </c>
      <c r="J1315" s="701">
        <v>5.2210648148148152E-2</v>
      </c>
      <c r="K1315" s="702"/>
      <c r="L1315" s="702"/>
      <c r="M1315" s="703"/>
      <c r="N1315" s="704"/>
      <c r="O1315" s="704"/>
      <c r="P1315" s="705"/>
      <c r="Q1315" s="26"/>
      <c r="R1315" s="26"/>
      <c r="S1315" s="37"/>
    </row>
    <row r="1316" spans="3:19" x14ac:dyDescent="0.25">
      <c r="C1316" s="696">
        <v>38</v>
      </c>
      <c r="D1316" s="697" t="s">
        <v>70</v>
      </c>
      <c r="E1316" s="708"/>
      <c r="F1316" s="709"/>
      <c r="G1316" s="39" t="s">
        <v>19</v>
      </c>
      <c r="H1316" s="33">
        <v>46095</v>
      </c>
      <c r="I1316" s="707"/>
      <c r="J1316" s="701"/>
      <c r="K1316" s="702"/>
      <c r="L1316" s="702"/>
      <c r="M1316" s="703"/>
      <c r="N1316" s="704"/>
      <c r="O1316" s="704"/>
      <c r="P1316" s="705"/>
      <c r="Q1316" s="26"/>
      <c r="R1316" s="26"/>
      <c r="S1316" s="37"/>
    </row>
    <row r="1317" spans="3:19" x14ac:dyDescent="0.25">
      <c r="C1317" s="696">
        <v>38</v>
      </c>
      <c r="D1317" s="697" t="s">
        <v>70</v>
      </c>
      <c r="E1317" s="708"/>
      <c r="F1317" s="709"/>
      <c r="G1317" s="46" t="s">
        <v>13</v>
      </c>
      <c r="H1317" s="33">
        <v>46096</v>
      </c>
      <c r="I1317" s="707"/>
      <c r="J1317" s="701"/>
      <c r="K1317" s="702"/>
      <c r="L1317" s="702"/>
      <c r="M1317" s="703"/>
      <c r="N1317" s="704"/>
      <c r="O1317" s="704"/>
      <c r="P1317" s="44"/>
      <c r="Q1317" s="26"/>
      <c r="R1317" s="26"/>
      <c r="S1317" s="37"/>
    </row>
    <row r="1318" spans="3:19" x14ac:dyDescent="0.25">
      <c r="C1318" s="696">
        <v>38</v>
      </c>
      <c r="D1318" s="697" t="s">
        <v>70</v>
      </c>
      <c r="E1318" s="708"/>
      <c r="F1318" s="709"/>
      <c r="G1318" s="39" t="s">
        <v>14</v>
      </c>
      <c r="H1318" s="33">
        <v>46097</v>
      </c>
      <c r="I1318" s="700"/>
      <c r="J1318" s="701"/>
      <c r="K1318" s="702"/>
      <c r="L1318" s="702"/>
      <c r="M1318" s="703"/>
      <c r="N1318" s="704"/>
      <c r="O1318" s="704"/>
      <c r="P1318" s="705"/>
      <c r="Q1318" s="26"/>
      <c r="R1318" s="26"/>
      <c r="S1318" s="37"/>
    </row>
    <row r="1319" spans="3:19" x14ac:dyDescent="0.25">
      <c r="C1319" s="696">
        <v>38</v>
      </c>
      <c r="D1319" s="697" t="s">
        <v>70</v>
      </c>
      <c r="E1319" s="708"/>
      <c r="F1319" s="709"/>
      <c r="G1319" s="39" t="s">
        <v>15</v>
      </c>
      <c r="H1319" s="33">
        <v>46098</v>
      </c>
      <c r="I1319" s="700"/>
      <c r="J1319" s="701"/>
      <c r="K1319" s="702"/>
      <c r="L1319" s="702"/>
      <c r="M1319" s="703"/>
      <c r="N1319" s="704"/>
      <c r="O1319" s="704"/>
      <c r="P1319" s="705"/>
      <c r="Q1319" s="26"/>
      <c r="R1319" s="26"/>
      <c r="S1319" s="37"/>
    </row>
    <row r="1320" spans="3:19" x14ac:dyDescent="0.25">
      <c r="C1320" s="696">
        <v>38</v>
      </c>
      <c r="D1320" s="697" t="s">
        <v>70</v>
      </c>
      <c r="E1320" s="708"/>
      <c r="F1320" s="709"/>
      <c r="G1320" s="39" t="s">
        <v>16</v>
      </c>
      <c r="H1320" s="33">
        <v>46099</v>
      </c>
      <c r="I1320" s="706"/>
      <c r="J1320" s="701"/>
      <c r="K1320" s="702"/>
      <c r="L1320" s="702"/>
      <c r="M1320" s="703"/>
      <c r="N1320" s="704"/>
      <c r="O1320" s="704"/>
      <c r="P1320" s="705"/>
      <c r="Q1320" s="26"/>
      <c r="R1320" s="26"/>
      <c r="S1320" s="37"/>
    </row>
    <row r="1321" spans="3:19" x14ac:dyDescent="0.25">
      <c r="C1321" s="696">
        <v>38</v>
      </c>
      <c r="D1321" s="697" t="s">
        <v>70</v>
      </c>
      <c r="E1321" s="708"/>
      <c r="F1321" s="709"/>
      <c r="G1321" s="39" t="s">
        <v>17</v>
      </c>
      <c r="H1321" s="33">
        <v>46100</v>
      </c>
      <c r="I1321" s="706"/>
      <c r="J1321" s="701"/>
      <c r="K1321" s="702"/>
      <c r="L1321" s="702"/>
      <c r="M1321" s="703"/>
      <c r="N1321" s="704"/>
      <c r="O1321" s="704"/>
      <c r="P1321" s="705"/>
      <c r="Q1321" s="26"/>
      <c r="R1321" s="26"/>
      <c r="S1321" s="37"/>
    </row>
    <row r="1322" spans="3:19" x14ac:dyDescent="0.25">
      <c r="C1322" s="696">
        <v>38</v>
      </c>
      <c r="D1322" s="697" t="s">
        <v>70</v>
      </c>
      <c r="E1322" s="708"/>
      <c r="F1322" s="709"/>
      <c r="G1322" s="39" t="s">
        <v>18</v>
      </c>
      <c r="H1322" s="33">
        <v>46101</v>
      </c>
      <c r="I1322" s="707"/>
      <c r="J1322" s="701"/>
      <c r="K1322" s="702"/>
      <c r="L1322" s="702"/>
      <c r="M1322" s="703"/>
      <c r="N1322" s="704"/>
      <c r="O1322" s="704"/>
      <c r="P1322" s="705"/>
      <c r="Q1322" s="26"/>
      <c r="R1322" s="26"/>
      <c r="S1322" s="37"/>
    </row>
    <row r="1323" spans="3:19" x14ac:dyDescent="0.25">
      <c r="C1323" s="696">
        <v>38</v>
      </c>
      <c r="D1323" s="697" t="s">
        <v>70</v>
      </c>
      <c r="E1323" s="708"/>
      <c r="F1323" s="709"/>
      <c r="G1323" s="39" t="s">
        <v>19</v>
      </c>
      <c r="H1323" s="33">
        <v>46102</v>
      </c>
      <c r="I1323" s="707"/>
      <c r="J1323" s="701"/>
      <c r="K1323" s="702"/>
      <c r="L1323" s="702"/>
      <c r="M1323" s="703"/>
      <c r="N1323" s="704"/>
      <c r="O1323" s="704"/>
      <c r="P1323" s="705"/>
      <c r="Q1323" s="26"/>
      <c r="R1323" s="26"/>
      <c r="S1323" s="37"/>
    </row>
    <row r="1324" spans="3:19" x14ac:dyDescent="0.25">
      <c r="C1324" s="696">
        <v>38</v>
      </c>
      <c r="D1324" s="697" t="s">
        <v>70</v>
      </c>
      <c r="E1324" s="708"/>
      <c r="F1324" s="709"/>
      <c r="G1324" s="46" t="s">
        <v>13</v>
      </c>
      <c r="H1324" s="33">
        <v>46103</v>
      </c>
      <c r="I1324" s="707"/>
      <c r="J1324" s="701"/>
      <c r="K1324" s="702"/>
      <c r="L1324" s="702"/>
      <c r="M1324" s="703"/>
      <c r="N1324" s="704"/>
      <c r="O1324" s="704"/>
      <c r="P1324" s="705"/>
      <c r="Q1324" s="26"/>
      <c r="R1324" s="26"/>
      <c r="S1324" s="37"/>
    </row>
    <row r="1325" spans="3:19" x14ac:dyDescent="0.25">
      <c r="C1325" s="696">
        <v>38</v>
      </c>
      <c r="D1325" s="697" t="s">
        <v>70</v>
      </c>
      <c r="E1325" s="708"/>
      <c r="F1325" s="709"/>
      <c r="G1325" s="39" t="s">
        <v>14</v>
      </c>
      <c r="H1325" s="33">
        <v>46104</v>
      </c>
      <c r="I1325" s="706"/>
      <c r="J1325" s="701"/>
      <c r="K1325" s="702"/>
      <c r="L1325" s="702"/>
      <c r="M1325" s="703"/>
      <c r="N1325" s="704"/>
      <c r="O1325" s="704"/>
      <c r="P1325" s="705"/>
      <c r="Q1325" s="26"/>
      <c r="R1325" s="26"/>
      <c r="S1325" s="37"/>
    </row>
    <row r="1326" spans="3:19" x14ac:dyDescent="0.25">
      <c r="C1326" s="696">
        <v>38</v>
      </c>
      <c r="D1326" s="697" t="s">
        <v>70</v>
      </c>
      <c r="E1326" s="708"/>
      <c r="F1326" s="709"/>
      <c r="G1326" s="39" t="s">
        <v>15</v>
      </c>
      <c r="H1326" s="33">
        <v>46105</v>
      </c>
      <c r="I1326" s="707"/>
      <c r="J1326" s="701"/>
      <c r="K1326" s="702"/>
      <c r="L1326" s="702"/>
      <c r="M1326" s="703"/>
      <c r="N1326" s="704"/>
      <c r="O1326" s="704"/>
      <c r="P1326" s="705"/>
      <c r="Q1326" s="26"/>
      <c r="R1326" s="26"/>
      <c r="S1326" s="37"/>
    </row>
    <row r="1327" spans="3:19" x14ac:dyDescent="0.25">
      <c r="C1327" s="696">
        <v>38</v>
      </c>
      <c r="D1327" s="697" t="s">
        <v>70</v>
      </c>
      <c r="E1327" s="708"/>
      <c r="F1327" s="709"/>
      <c r="G1327" s="39" t="s">
        <v>16</v>
      </c>
      <c r="H1327" s="33">
        <v>46106</v>
      </c>
      <c r="I1327" s="707"/>
      <c r="J1327" s="701"/>
      <c r="K1327" s="702"/>
      <c r="L1327" s="702"/>
      <c r="M1327" s="703"/>
      <c r="N1327" s="704"/>
      <c r="O1327" s="704"/>
      <c r="P1327" s="705"/>
      <c r="Q1327" s="26"/>
      <c r="R1327" s="26"/>
      <c r="S1327" s="37"/>
    </row>
    <row r="1328" spans="3:19" x14ac:dyDescent="0.25">
      <c r="C1328" s="696">
        <v>38</v>
      </c>
      <c r="D1328" s="697" t="s">
        <v>70</v>
      </c>
      <c r="E1328" s="708"/>
      <c r="F1328" s="709"/>
      <c r="G1328" s="39" t="s">
        <v>17</v>
      </c>
      <c r="H1328" s="33">
        <v>46107</v>
      </c>
      <c r="I1328" s="706"/>
      <c r="J1328" s="701"/>
      <c r="K1328" s="702"/>
      <c r="L1328" s="702"/>
      <c r="M1328" s="703"/>
      <c r="N1328" s="704"/>
      <c r="O1328" s="704"/>
      <c r="P1328" s="705"/>
      <c r="Q1328" s="26"/>
      <c r="R1328" s="26"/>
      <c r="S1328" s="37"/>
    </row>
    <row r="1329" spans="3:19" x14ac:dyDescent="0.25">
      <c r="C1329" s="696">
        <v>38</v>
      </c>
      <c r="D1329" s="697" t="s">
        <v>70</v>
      </c>
      <c r="E1329" s="708"/>
      <c r="F1329" s="709"/>
      <c r="G1329" s="39" t="s">
        <v>18</v>
      </c>
      <c r="H1329" s="33">
        <v>46108</v>
      </c>
      <c r="I1329" s="707"/>
      <c r="J1329" s="701"/>
      <c r="K1329" s="702"/>
      <c r="L1329" s="702"/>
      <c r="M1329" s="703"/>
      <c r="N1329" s="704"/>
      <c r="O1329" s="704"/>
      <c r="P1329" s="705"/>
      <c r="Q1329" s="26"/>
      <c r="R1329" s="26"/>
      <c r="S1329" s="37"/>
    </row>
    <row r="1330" spans="3:19" x14ac:dyDescent="0.25">
      <c r="C1330" s="696">
        <v>38</v>
      </c>
      <c r="D1330" s="697" t="s">
        <v>70</v>
      </c>
      <c r="E1330" s="708"/>
      <c r="F1330" s="709"/>
      <c r="G1330" s="39" t="s">
        <v>19</v>
      </c>
      <c r="H1330" s="33">
        <v>46109</v>
      </c>
      <c r="I1330" s="707"/>
      <c r="J1330" s="701"/>
      <c r="K1330" s="702"/>
      <c r="L1330" s="702"/>
      <c r="M1330" s="703"/>
      <c r="N1330" s="704"/>
      <c r="O1330" s="704"/>
      <c r="P1330" s="705"/>
      <c r="Q1330" s="26"/>
      <c r="R1330" s="26"/>
      <c r="S1330" s="37"/>
    </row>
    <row r="1331" spans="3:19" x14ac:dyDescent="0.25">
      <c r="C1331" s="696">
        <v>38</v>
      </c>
      <c r="D1331" s="697" t="s">
        <v>70</v>
      </c>
      <c r="E1331" s="708"/>
      <c r="F1331" s="709"/>
      <c r="G1331" s="46" t="s">
        <v>13</v>
      </c>
      <c r="H1331" s="33">
        <v>46110</v>
      </c>
      <c r="I1331" s="707"/>
      <c r="J1331" s="701"/>
      <c r="K1331" s="702"/>
      <c r="L1331" s="702"/>
      <c r="M1331" s="703"/>
      <c r="N1331" s="704"/>
      <c r="O1331" s="704"/>
      <c r="P1331" s="705"/>
      <c r="Q1331" s="26"/>
      <c r="R1331" s="26"/>
      <c r="S1331" s="37"/>
    </row>
    <row r="1332" spans="3:19" x14ac:dyDescent="0.25">
      <c r="C1332" s="696">
        <v>38</v>
      </c>
      <c r="D1332" s="697" t="s">
        <v>70</v>
      </c>
      <c r="E1332" s="708"/>
      <c r="F1332" s="709"/>
      <c r="G1332" s="39" t="s">
        <v>14</v>
      </c>
      <c r="H1332" s="33">
        <v>46111</v>
      </c>
      <c r="I1332" s="707"/>
      <c r="J1332" s="701"/>
      <c r="K1332" s="702"/>
      <c r="L1332" s="702"/>
      <c r="M1332" s="703"/>
      <c r="N1332" s="704"/>
      <c r="O1332" s="704"/>
      <c r="P1332" s="705"/>
      <c r="Q1332" s="26"/>
      <c r="R1332" s="26"/>
      <c r="S1332" s="37"/>
    </row>
    <row r="1333" spans="3:19" x14ac:dyDescent="0.25">
      <c r="C1333" s="696">
        <v>38</v>
      </c>
      <c r="D1333" s="697" t="s">
        <v>70</v>
      </c>
      <c r="E1333" s="708"/>
      <c r="F1333" s="709"/>
      <c r="G1333" s="39" t="s">
        <v>15</v>
      </c>
      <c r="H1333" s="33">
        <v>46112</v>
      </c>
      <c r="I1333" s="707"/>
      <c r="J1333" s="701"/>
      <c r="K1333" s="702"/>
      <c r="L1333" s="702"/>
      <c r="M1333" s="703"/>
      <c r="N1333" s="704"/>
      <c r="O1333" s="704"/>
      <c r="P1333" s="705"/>
      <c r="Q1333" s="26"/>
      <c r="R1333" s="26"/>
      <c r="S1333" s="37"/>
    </row>
    <row r="1334" spans="3:19" x14ac:dyDescent="0.25">
      <c r="C1334" s="716"/>
      <c r="D1334" s="717"/>
      <c r="E1334" s="718"/>
      <c r="F1334" s="718"/>
      <c r="G1334" s="719"/>
      <c r="H1334" s="720"/>
      <c r="I1334" s="721" t="s">
        <v>70</v>
      </c>
      <c r="J1334" s="722" t="s">
        <v>20</v>
      </c>
      <c r="K1334" s="723"/>
      <c r="L1334" s="723"/>
      <c r="M1334" s="724">
        <f>SUM(M1303:M1333)</f>
        <v>6</v>
      </c>
      <c r="N1334" s="724">
        <f t="shared" ref="N1334:O1334" si="32">SUM(N1303:N1333)</f>
        <v>0</v>
      </c>
      <c r="O1334" s="724">
        <f t="shared" si="32"/>
        <v>1</v>
      </c>
      <c r="P1334" s="725"/>
      <c r="Q1334" s="26"/>
      <c r="R1334" s="26"/>
      <c r="S1334" s="37"/>
    </row>
    <row r="1335" spans="3:19" x14ac:dyDescent="0.2">
      <c r="C1335" s="660"/>
      <c r="D1335" s="661"/>
      <c r="E1335" s="662"/>
      <c r="F1335" s="662"/>
      <c r="G1335" s="663"/>
      <c r="H1335" s="664"/>
      <c r="I1335" s="665"/>
      <c r="J1335" s="665"/>
      <c r="K1335" s="664"/>
      <c r="L1335" s="664"/>
      <c r="M1335" s="664"/>
      <c r="N1335" s="666"/>
      <c r="O1335" s="666"/>
      <c r="P1335" s="667"/>
      <c r="Q1335" s="26"/>
      <c r="R1335" s="26"/>
      <c r="S1335" s="37"/>
    </row>
    <row r="1336" spans="3:19" x14ac:dyDescent="0.2">
      <c r="C1336" s="365" t="s">
        <v>1</v>
      </c>
      <c r="D1336" s="668" t="s">
        <v>2</v>
      </c>
      <c r="E1336" s="669" t="s">
        <v>3</v>
      </c>
      <c r="F1336" s="669" t="s">
        <v>4</v>
      </c>
      <c r="G1336" s="670" t="s">
        <v>5</v>
      </c>
      <c r="H1336" s="669" t="s">
        <v>6</v>
      </c>
      <c r="I1336" s="671" t="s">
        <v>7</v>
      </c>
      <c r="J1336" s="671" t="s">
        <v>8</v>
      </c>
      <c r="K1336" s="672"/>
      <c r="L1336" s="673"/>
      <c r="M1336" s="673" t="s">
        <v>9</v>
      </c>
      <c r="N1336" s="674" t="s">
        <v>10</v>
      </c>
      <c r="O1336" s="674" t="s">
        <v>11</v>
      </c>
      <c r="P1336" s="675"/>
      <c r="Q1336" s="26"/>
      <c r="R1336" s="26"/>
      <c r="S1336" s="37"/>
    </row>
    <row r="1337" spans="3:19" x14ac:dyDescent="0.25">
      <c r="C1337" s="696">
        <v>39</v>
      </c>
      <c r="D1337" s="697" t="s">
        <v>71</v>
      </c>
      <c r="E1337" s="698" t="s">
        <v>22</v>
      </c>
      <c r="F1337" s="699" t="s">
        <v>22</v>
      </c>
      <c r="G1337" s="32" t="s">
        <v>13</v>
      </c>
      <c r="H1337" s="33">
        <v>46082</v>
      </c>
      <c r="I1337" s="700"/>
      <c r="J1337" s="701"/>
      <c r="K1337" s="702"/>
      <c r="L1337" s="702"/>
      <c r="M1337" s="703"/>
      <c r="N1337" s="704"/>
      <c r="O1337" s="704"/>
      <c r="P1337" s="705"/>
      <c r="Q1337" s="26"/>
      <c r="R1337" s="26"/>
      <c r="S1337" s="37"/>
    </row>
    <row r="1338" spans="3:19" x14ac:dyDescent="0.25">
      <c r="C1338" s="696">
        <v>39</v>
      </c>
      <c r="D1338" s="697" t="s">
        <v>71</v>
      </c>
      <c r="E1338" s="698" t="s">
        <v>22</v>
      </c>
      <c r="F1338" s="699" t="s">
        <v>22</v>
      </c>
      <c r="G1338" s="29" t="s">
        <v>14</v>
      </c>
      <c r="H1338" s="33">
        <v>46083</v>
      </c>
      <c r="I1338" s="706">
        <v>0.31839120370370372</v>
      </c>
      <c r="J1338" s="701"/>
      <c r="K1338" s="702"/>
      <c r="L1338" s="702"/>
      <c r="M1338" s="703"/>
      <c r="N1338" s="704"/>
      <c r="O1338" s="704"/>
      <c r="P1338" s="705"/>
      <c r="Q1338" s="26"/>
      <c r="R1338" s="26"/>
      <c r="S1338" s="37"/>
    </row>
    <row r="1339" spans="3:19" x14ac:dyDescent="0.25">
      <c r="C1339" s="696">
        <v>39</v>
      </c>
      <c r="D1339" s="697" t="s">
        <v>71</v>
      </c>
      <c r="E1339" s="698" t="s">
        <v>22</v>
      </c>
      <c r="F1339" s="699" t="s">
        <v>22</v>
      </c>
      <c r="G1339" s="39" t="s">
        <v>15</v>
      </c>
      <c r="H1339" s="33">
        <v>46084</v>
      </c>
      <c r="I1339" s="707">
        <v>0.33123842592592595</v>
      </c>
      <c r="J1339" s="701">
        <v>0.74888888888888883</v>
      </c>
      <c r="K1339" s="702"/>
      <c r="L1339" s="702"/>
      <c r="M1339" s="703"/>
      <c r="N1339" s="704"/>
      <c r="O1339" s="704"/>
      <c r="P1339" s="705"/>
      <c r="Q1339" s="26"/>
      <c r="R1339" s="26"/>
      <c r="S1339" s="37"/>
    </row>
    <row r="1340" spans="3:19" x14ac:dyDescent="0.25">
      <c r="C1340" s="696">
        <v>39</v>
      </c>
      <c r="D1340" s="697" t="s">
        <v>71</v>
      </c>
      <c r="E1340" s="698" t="s">
        <v>22</v>
      </c>
      <c r="F1340" s="699" t="s">
        <v>22</v>
      </c>
      <c r="G1340" s="39" t="s">
        <v>16</v>
      </c>
      <c r="H1340" s="33">
        <v>46085</v>
      </c>
      <c r="I1340" s="707">
        <v>0.27136574074074077</v>
      </c>
      <c r="J1340" s="701">
        <v>0.70877314814814818</v>
      </c>
      <c r="K1340" s="702"/>
      <c r="L1340" s="702"/>
      <c r="M1340" s="703"/>
      <c r="N1340" s="704"/>
      <c r="O1340" s="704"/>
      <c r="P1340" s="705"/>
      <c r="Q1340" s="26"/>
      <c r="R1340" s="26"/>
      <c r="S1340" s="37"/>
    </row>
    <row r="1341" spans="3:19" x14ac:dyDescent="0.25">
      <c r="C1341" s="696">
        <v>39</v>
      </c>
      <c r="D1341" s="697" t="s">
        <v>71</v>
      </c>
      <c r="E1341" s="698" t="s">
        <v>22</v>
      </c>
      <c r="F1341" s="699" t="s">
        <v>22</v>
      </c>
      <c r="G1341" s="39" t="s">
        <v>17</v>
      </c>
      <c r="H1341" s="33">
        <v>46086</v>
      </c>
      <c r="I1341" s="707">
        <v>0.31594907407407408</v>
      </c>
      <c r="J1341" s="701">
        <v>0.70851851851851855</v>
      </c>
      <c r="K1341" s="702"/>
      <c r="L1341" s="702"/>
      <c r="M1341" s="703"/>
      <c r="N1341" s="704"/>
      <c r="O1341" s="704"/>
      <c r="P1341" s="705"/>
      <c r="Q1341" s="26"/>
      <c r="R1341" s="26"/>
      <c r="S1341" s="37"/>
    </row>
    <row r="1342" spans="3:19" x14ac:dyDescent="0.25">
      <c r="C1342" s="696">
        <v>39</v>
      </c>
      <c r="D1342" s="697" t="s">
        <v>71</v>
      </c>
      <c r="E1342" s="708" t="s">
        <v>22</v>
      </c>
      <c r="F1342" s="709" t="s">
        <v>22</v>
      </c>
      <c r="G1342" s="45" t="s">
        <v>18</v>
      </c>
      <c r="H1342" s="33">
        <v>46087</v>
      </c>
      <c r="I1342" s="707">
        <v>0.283287037037037</v>
      </c>
      <c r="J1342" s="701">
        <v>0.71106481481481476</v>
      </c>
      <c r="K1342" s="702"/>
      <c r="L1342" s="702"/>
      <c r="M1342" s="703"/>
      <c r="N1342" s="704"/>
      <c r="O1342" s="704"/>
      <c r="P1342" s="705"/>
      <c r="Q1342" s="26"/>
      <c r="R1342" s="26"/>
      <c r="S1342" s="37"/>
    </row>
    <row r="1343" spans="3:19" x14ac:dyDescent="0.25">
      <c r="C1343" s="696">
        <v>39</v>
      </c>
      <c r="D1343" s="697" t="s">
        <v>71</v>
      </c>
      <c r="E1343" s="708" t="s">
        <v>22</v>
      </c>
      <c r="F1343" s="709" t="s">
        <v>22</v>
      </c>
      <c r="G1343" s="39" t="s">
        <v>19</v>
      </c>
      <c r="H1343" s="33">
        <v>46088</v>
      </c>
      <c r="I1343" s="707">
        <v>0.31373842592592593</v>
      </c>
      <c r="J1343" s="701">
        <v>0.62775462962962958</v>
      </c>
      <c r="K1343" s="702"/>
      <c r="L1343" s="702"/>
      <c r="M1343" s="703">
        <v>2</v>
      </c>
      <c r="N1343" s="704"/>
      <c r="O1343" s="704"/>
      <c r="P1343" s="705"/>
      <c r="Q1343" s="26"/>
      <c r="R1343" s="26"/>
      <c r="S1343" s="37"/>
    </row>
    <row r="1344" spans="3:19" x14ac:dyDescent="0.25">
      <c r="C1344" s="696">
        <v>39</v>
      </c>
      <c r="D1344" s="697" t="s">
        <v>71</v>
      </c>
      <c r="E1344" s="708"/>
      <c r="F1344" s="709"/>
      <c r="G1344" s="46" t="s">
        <v>13</v>
      </c>
      <c r="H1344" s="33">
        <v>46089</v>
      </c>
      <c r="I1344" s="700"/>
      <c r="K1344" s="702"/>
      <c r="L1344" s="702"/>
      <c r="M1344" s="703"/>
      <c r="N1344" s="704"/>
      <c r="O1344" s="704"/>
      <c r="P1344" s="705"/>
      <c r="Q1344" s="26"/>
      <c r="R1344" s="26"/>
      <c r="S1344" s="37"/>
    </row>
    <row r="1345" spans="3:19" x14ac:dyDescent="0.25">
      <c r="C1345" s="696">
        <v>39</v>
      </c>
      <c r="D1345" s="697" t="s">
        <v>71</v>
      </c>
      <c r="E1345" s="708"/>
      <c r="F1345" s="709"/>
      <c r="G1345" s="39" t="s">
        <v>14</v>
      </c>
      <c r="H1345" s="33">
        <v>46090</v>
      </c>
      <c r="I1345" s="5">
        <v>0.29369212962962959</v>
      </c>
      <c r="J1345" s="707">
        <v>0.70876157407407403</v>
      </c>
      <c r="K1345" s="702"/>
      <c r="L1345" s="702"/>
      <c r="M1345" s="703"/>
      <c r="N1345" s="704"/>
      <c r="O1345" s="704"/>
      <c r="P1345" s="705"/>
      <c r="Q1345" s="26"/>
      <c r="R1345" s="26"/>
      <c r="S1345" s="37"/>
    </row>
    <row r="1346" spans="3:19" x14ac:dyDescent="0.25">
      <c r="C1346" s="696">
        <v>39</v>
      </c>
      <c r="D1346" s="697" t="s">
        <v>71</v>
      </c>
      <c r="E1346" s="708"/>
      <c r="F1346" s="709"/>
      <c r="G1346" s="39" t="s">
        <v>15</v>
      </c>
      <c r="H1346" s="33">
        <v>46091</v>
      </c>
      <c r="I1346" s="706">
        <v>0.27311342592592591</v>
      </c>
      <c r="J1346" s="701">
        <v>0.70876157407407403</v>
      </c>
      <c r="K1346" s="702"/>
      <c r="L1346" s="702"/>
      <c r="M1346" s="703"/>
      <c r="N1346" s="704"/>
      <c r="O1346" s="704"/>
      <c r="P1346" s="705"/>
      <c r="Q1346" s="26"/>
      <c r="R1346" s="26"/>
      <c r="S1346" s="37"/>
    </row>
    <row r="1347" spans="3:19" x14ac:dyDescent="0.25">
      <c r="C1347" s="696">
        <v>39</v>
      </c>
      <c r="D1347" s="697" t="s">
        <v>71</v>
      </c>
      <c r="E1347" s="708"/>
      <c r="F1347" s="709"/>
      <c r="G1347" s="39" t="s">
        <v>16</v>
      </c>
      <c r="H1347" s="33">
        <v>46092</v>
      </c>
      <c r="I1347" s="706">
        <v>0.27523148148148152</v>
      </c>
      <c r="J1347" s="701">
        <v>0.70938657407407402</v>
      </c>
      <c r="K1347" s="702"/>
      <c r="L1347" s="702"/>
      <c r="M1347" s="703"/>
      <c r="N1347" s="704"/>
      <c r="O1347" s="704"/>
      <c r="P1347" s="705"/>
      <c r="Q1347" s="26"/>
      <c r="R1347" s="26"/>
      <c r="S1347" s="37"/>
    </row>
    <row r="1348" spans="3:19" x14ac:dyDescent="0.25">
      <c r="C1348" s="696">
        <v>39</v>
      </c>
      <c r="D1348" s="697" t="s">
        <v>71</v>
      </c>
      <c r="E1348" s="708" t="s">
        <v>22</v>
      </c>
      <c r="F1348" s="709" t="s">
        <v>22</v>
      </c>
      <c r="G1348" s="39" t="s">
        <v>17</v>
      </c>
      <c r="H1348" s="33">
        <v>46093</v>
      </c>
      <c r="I1348" s="706">
        <v>0.27546296296296297</v>
      </c>
      <c r="J1348" s="701">
        <v>0.75222222222222224</v>
      </c>
      <c r="K1348" s="702"/>
      <c r="L1348" s="702"/>
      <c r="M1348" s="703">
        <v>1</v>
      </c>
      <c r="N1348" s="704"/>
      <c r="O1348" s="704"/>
      <c r="P1348" s="705"/>
      <c r="Q1348" s="26"/>
      <c r="R1348" s="26"/>
      <c r="S1348" s="37"/>
    </row>
    <row r="1349" spans="3:19" x14ac:dyDescent="0.25">
      <c r="C1349" s="696">
        <v>39</v>
      </c>
      <c r="D1349" s="697" t="s">
        <v>71</v>
      </c>
      <c r="E1349" s="708" t="s">
        <v>22</v>
      </c>
      <c r="F1349" s="709" t="s">
        <v>22</v>
      </c>
      <c r="G1349" s="48" t="s">
        <v>18</v>
      </c>
      <c r="H1349" s="33">
        <v>46094</v>
      </c>
      <c r="I1349" s="706">
        <v>0.28126157407407409</v>
      </c>
      <c r="J1349" s="701">
        <v>0.709050925925926</v>
      </c>
      <c r="K1349" s="702"/>
      <c r="L1349" s="702"/>
      <c r="M1349" s="703"/>
      <c r="N1349" s="704"/>
      <c r="O1349" s="704"/>
      <c r="P1349" s="705"/>
      <c r="Q1349" s="26"/>
      <c r="R1349" s="26"/>
      <c r="S1349" s="37"/>
    </row>
    <row r="1350" spans="3:19" x14ac:dyDescent="0.25">
      <c r="C1350" s="696">
        <v>39</v>
      </c>
      <c r="D1350" s="697" t="s">
        <v>71</v>
      </c>
      <c r="E1350" s="708" t="s">
        <v>22</v>
      </c>
      <c r="F1350" s="709" t="s">
        <v>22</v>
      </c>
      <c r="G1350" s="39" t="s">
        <v>19</v>
      </c>
      <c r="H1350" s="33">
        <v>46095</v>
      </c>
      <c r="I1350" s="706">
        <v>0.31347222222222221</v>
      </c>
      <c r="J1350" s="701"/>
      <c r="K1350" s="702"/>
      <c r="L1350" s="702"/>
      <c r="M1350" s="703"/>
      <c r="N1350" s="704"/>
      <c r="O1350" s="704"/>
      <c r="P1350" s="705"/>
      <c r="Q1350" s="26"/>
      <c r="R1350" s="26"/>
      <c r="S1350" s="37"/>
    </row>
    <row r="1351" spans="3:19" x14ac:dyDescent="0.25">
      <c r="C1351" s="696">
        <v>39</v>
      </c>
      <c r="D1351" s="697" t="s">
        <v>71</v>
      </c>
      <c r="E1351" s="708" t="s">
        <v>22</v>
      </c>
      <c r="F1351" s="709" t="s">
        <v>22</v>
      </c>
      <c r="G1351" s="46" t="s">
        <v>13</v>
      </c>
      <c r="H1351" s="33">
        <v>46096</v>
      </c>
      <c r="I1351" s="706"/>
      <c r="J1351" s="701"/>
      <c r="K1351" s="702"/>
      <c r="L1351" s="702"/>
      <c r="M1351" s="703"/>
      <c r="N1351" s="704"/>
      <c r="O1351" s="704"/>
      <c r="P1351" s="44"/>
      <c r="Q1351" s="26"/>
      <c r="R1351" s="26"/>
      <c r="S1351" s="37"/>
    </row>
    <row r="1352" spans="3:19" x14ac:dyDescent="0.25">
      <c r="C1352" s="696">
        <v>39</v>
      </c>
      <c r="D1352" s="697" t="s">
        <v>71</v>
      </c>
      <c r="E1352" s="708" t="s">
        <v>22</v>
      </c>
      <c r="F1352" s="709" t="s">
        <v>22</v>
      </c>
      <c r="G1352" s="39" t="s">
        <v>14</v>
      </c>
      <c r="H1352" s="33">
        <v>46097</v>
      </c>
      <c r="I1352" s="706"/>
      <c r="J1352" s="701"/>
      <c r="K1352" s="702"/>
      <c r="L1352" s="702"/>
      <c r="M1352" s="703"/>
      <c r="N1352" s="704"/>
      <c r="O1352" s="704"/>
      <c r="P1352" s="705"/>
      <c r="Q1352" s="26"/>
      <c r="R1352" s="26"/>
      <c r="S1352" s="37"/>
    </row>
    <row r="1353" spans="3:19" x14ac:dyDescent="0.25">
      <c r="C1353" s="696">
        <v>39</v>
      </c>
      <c r="D1353" s="697" t="s">
        <v>71</v>
      </c>
      <c r="E1353" s="708" t="s">
        <v>22</v>
      </c>
      <c r="F1353" s="709" t="s">
        <v>22</v>
      </c>
      <c r="G1353" s="39" t="s">
        <v>15</v>
      </c>
      <c r="H1353" s="33">
        <v>46098</v>
      </c>
      <c r="I1353" s="706"/>
      <c r="J1353" s="701"/>
      <c r="K1353" s="702"/>
      <c r="L1353" s="702"/>
      <c r="M1353" s="703"/>
      <c r="N1353" s="704"/>
      <c r="O1353" s="704"/>
      <c r="P1353" s="705"/>
      <c r="Q1353" s="26"/>
      <c r="R1353" s="26"/>
      <c r="S1353" s="37"/>
    </row>
    <row r="1354" spans="3:19" x14ac:dyDescent="0.25">
      <c r="C1354" s="696">
        <v>39</v>
      </c>
      <c r="D1354" s="697" t="s">
        <v>71</v>
      </c>
      <c r="E1354" s="708" t="s">
        <v>22</v>
      </c>
      <c r="F1354" s="709" t="s">
        <v>22</v>
      </c>
      <c r="G1354" s="39" t="s">
        <v>16</v>
      </c>
      <c r="H1354" s="33">
        <v>46099</v>
      </c>
      <c r="I1354" s="706"/>
      <c r="J1354" s="701"/>
      <c r="K1354" s="702"/>
      <c r="L1354" s="702"/>
      <c r="M1354" s="703"/>
      <c r="N1354" s="704"/>
      <c r="O1354" s="704"/>
      <c r="P1354" s="705"/>
      <c r="Q1354" s="26"/>
      <c r="R1354" s="26"/>
      <c r="S1354" s="37"/>
    </row>
    <row r="1355" spans="3:19" x14ac:dyDescent="0.25">
      <c r="C1355" s="696">
        <v>39</v>
      </c>
      <c r="D1355" s="697" t="s">
        <v>71</v>
      </c>
      <c r="E1355" s="708" t="s">
        <v>22</v>
      </c>
      <c r="F1355" s="709" t="s">
        <v>22</v>
      </c>
      <c r="G1355" s="39" t="s">
        <v>17</v>
      </c>
      <c r="H1355" s="33">
        <v>46100</v>
      </c>
      <c r="I1355" s="706"/>
      <c r="J1355" s="701"/>
      <c r="K1355" s="702"/>
      <c r="L1355" s="702"/>
      <c r="M1355" s="703"/>
      <c r="N1355" s="704"/>
      <c r="O1355" s="704"/>
      <c r="P1355" s="705"/>
      <c r="Q1355" s="26"/>
      <c r="R1355" s="26"/>
      <c r="S1355" s="37"/>
    </row>
    <row r="1356" spans="3:19" x14ac:dyDescent="0.25">
      <c r="C1356" s="696">
        <v>39</v>
      </c>
      <c r="D1356" s="697" t="s">
        <v>71</v>
      </c>
      <c r="E1356" s="708" t="s">
        <v>22</v>
      </c>
      <c r="F1356" s="709" t="s">
        <v>22</v>
      </c>
      <c r="G1356" s="39" t="s">
        <v>18</v>
      </c>
      <c r="H1356" s="33">
        <v>46101</v>
      </c>
      <c r="I1356" s="706"/>
      <c r="J1356" s="701"/>
      <c r="K1356" s="702"/>
      <c r="L1356" s="702"/>
      <c r="M1356" s="703"/>
      <c r="N1356" s="704"/>
      <c r="O1356" s="704"/>
      <c r="P1356" s="705"/>
      <c r="Q1356" s="26"/>
      <c r="R1356" s="26"/>
      <c r="S1356" s="37"/>
    </row>
    <row r="1357" spans="3:19" x14ac:dyDescent="0.25">
      <c r="C1357" s="696">
        <v>39</v>
      </c>
      <c r="D1357" s="697" t="s">
        <v>71</v>
      </c>
      <c r="E1357" s="708" t="s">
        <v>22</v>
      </c>
      <c r="F1357" s="709" t="s">
        <v>22</v>
      </c>
      <c r="G1357" s="39" t="s">
        <v>19</v>
      </c>
      <c r="H1357" s="33">
        <v>46102</v>
      </c>
      <c r="I1357" s="706"/>
      <c r="J1357" s="701"/>
      <c r="K1357" s="702"/>
      <c r="L1357" s="702"/>
      <c r="M1357" s="703"/>
      <c r="N1357" s="704"/>
      <c r="O1357" s="704"/>
      <c r="P1357" s="705"/>
      <c r="Q1357" s="26"/>
      <c r="R1357" s="26"/>
      <c r="S1357" s="37"/>
    </row>
    <row r="1358" spans="3:19" x14ac:dyDescent="0.25">
      <c r="C1358" s="696">
        <v>39</v>
      </c>
      <c r="D1358" s="697" t="s">
        <v>71</v>
      </c>
      <c r="E1358" s="708"/>
      <c r="F1358" s="709"/>
      <c r="G1358" s="46" t="s">
        <v>13</v>
      </c>
      <c r="H1358" s="33">
        <v>46103</v>
      </c>
      <c r="I1358" s="706"/>
      <c r="J1358" s="701"/>
      <c r="K1358" s="702"/>
      <c r="L1358" s="702"/>
      <c r="M1358" s="703"/>
      <c r="N1358" s="704"/>
      <c r="O1358" s="704"/>
      <c r="P1358" s="705"/>
      <c r="Q1358" s="26"/>
      <c r="R1358" s="26"/>
      <c r="S1358" s="37"/>
    </row>
    <row r="1359" spans="3:19" x14ac:dyDescent="0.25">
      <c r="C1359" s="696">
        <v>39</v>
      </c>
      <c r="D1359" s="697" t="s">
        <v>71</v>
      </c>
      <c r="E1359" s="708"/>
      <c r="F1359" s="709"/>
      <c r="G1359" s="39" t="s">
        <v>14</v>
      </c>
      <c r="H1359" s="33">
        <v>46104</v>
      </c>
      <c r="I1359" s="706"/>
      <c r="J1359" s="701"/>
      <c r="K1359" s="702"/>
      <c r="L1359" s="702"/>
      <c r="M1359" s="703"/>
      <c r="N1359" s="704"/>
      <c r="O1359" s="704"/>
      <c r="P1359" s="705"/>
      <c r="Q1359" s="26"/>
      <c r="R1359" s="26"/>
      <c r="S1359" s="37"/>
    </row>
    <row r="1360" spans="3:19" x14ac:dyDescent="0.25">
      <c r="C1360" s="696">
        <v>39</v>
      </c>
      <c r="D1360" s="697" t="s">
        <v>71</v>
      </c>
      <c r="E1360" s="708"/>
      <c r="F1360" s="709"/>
      <c r="G1360" s="39" t="s">
        <v>15</v>
      </c>
      <c r="H1360" s="33">
        <v>46105</v>
      </c>
      <c r="I1360" s="706"/>
      <c r="J1360" s="701"/>
      <c r="K1360" s="702"/>
      <c r="L1360" s="702"/>
      <c r="M1360" s="703"/>
      <c r="N1360" s="704"/>
      <c r="O1360" s="704"/>
      <c r="P1360" s="705"/>
      <c r="Q1360" s="26"/>
      <c r="R1360" s="26"/>
      <c r="S1360" s="37"/>
    </row>
    <row r="1361" spans="1:19" x14ac:dyDescent="0.25">
      <c r="C1361" s="696">
        <v>39</v>
      </c>
      <c r="D1361" s="697" t="s">
        <v>71</v>
      </c>
      <c r="E1361" s="708"/>
      <c r="F1361" s="709"/>
      <c r="G1361" s="39" t="s">
        <v>16</v>
      </c>
      <c r="H1361" s="33">
        <v>46106</v>
      </c>
      <c r="I1361" s="706"/>
      <c r="J1361" s="701"/>
      <c r="K1361" s="702"/>
      <c r="L1361" s="702"/>
      <c r="M1361" s="703"/>
      <c r="N1361" s="704"/>
      <c r="O1361" s="704"/>
      <c r="P1361" s="705"/>
      <c r="Q1361" s="26"/>
      <c r="R1361" s="26"/>
      <c r="S1361" s="37"/>
    </row>
    <row r="1362" spans="1:19" x14ac:dyDescent="0.25">
      <c r="C1362" s="696">
        <v>39</v>
      </c>
      <c r="D1362" s="697" t="s">
        <v>71</v>
      </c>
      <c r="E1362" s="708"/>
      <c r="F1362" s="709"/>
      <c r="G1362" s="39" t="s">
        <v>17</v>
      </c>
      <c r="H1362" s="33">
        <v>46107</v>
      </c>
      <c r="I1362" s="706"/>
      <c r="J1362" s="701"/>
      <c r="K1362" s="702"/>
      <c r="L1362" s="702"/>
      <c r="M1362" s="703"/>
      <c r="N1362" s="704"/>
      <c r="O1362" s="704"/>
      <c r="P1362" s="705"/>
      <c r="Q1362" s="26"/>
      <c r="R1362" s="26"/>
      <c r="S1362" s="37"/>
    </row>
    <row r="1363" spans="1:19" x14ac:dyDescent="0.25">
      <c r="C1363" s="696">
        <v>39</v>
      </c>
      <c r="D1363" s="697" t="s">
        <v>71</v>
      </c>
      <c r="E1363" s="708"/>
      <c r="F1363" s="709"/>
      <c r="G1363" s="39" t="s">
        <v>18</v>
      </c>
      <c r="H1363" s="33">
        <v>46108</v>
      </c>
      <c r="I1363" s="706"/>
      <c r="J1363" s="701"/>
      <c r="K1363" s="702"/>
      <c r="L1363" s="702"/>
      <c r="M1363" s="703"/>
      <c r="N1363" s="704"/>
      <c r="O1363" s="704"/>
      <c r="P1363" s="705"/>
      <c r="Q1363" s="26"/>
      <c r="R1363" s="26"/>
      <c r="S1363" s="37"/>
    </row>
    <row r="1364" spans="1:19" x14ac:dyDescent="0.25">
      <c r="C1364" s="696">
        <v>39</v>
      </c>
      <c r="D1364" s="697" t="s">
        <v>71</v>
      </c>
      <c r="E1364" s="708"/>
      <c r="F1364" s="709"/>
      <c r="G1364" s="39" t="s">
        <v>19</v>
      </c>
      <c r="H1364" s="33">
        <v>46109</v>
      </c>
      <c r="I1364" s="706"/>
      <c r="J1364" s="701"/>
      <c r="K1364" s="702"/>
      <c r="L1364" s="702"/>
      <c r="M1364" s="703"/>
      <c r="N1364" s="704"/>
      <c r="O1364" s="704"/>
      <c r="P1364" s="705"/>
      <c r="Q1364" s="26"/>
      <c r="R1364" s="26"/>
      <c r="S1364" s="37"/>
    </row>
    <row r="1365" spans="1:19" x14ac:dyDescent="0.25">
      <c r="C1365" s="696">
        <v>39</v>
      </c>
      <c r="D1365" s="697" t="s">
        <v>71</v>
      </c>
      <c r="E1365" s="708"/>
      <c r="F1365" s="709"/>
      <c r="G1365" s="46" t="s">
        <v>13</v>
      </c>
      <c r="H1365" s="33">
        <v>46110</v>
      </c>
      <c r="I1365" s="706"/>
      <c r="J1365" s="701"/>
      <c r="K1365" s="702"/>
      <c r="L1365" s="702"/>
      <c r="M1365" s="703"/>
      <c r="N1365" s="704"/>
      <c r="O1365" s="704"/>
      <c r="P1365" s="705"/>
      <c r="Q1365" s="26"/>
      <c r="R1365" s="26"/>
      <c r="S1365" s="37"/>
    </row>
    <row r="1366" spans="1:19" x14ac:dyDescent="0.25">
      <c r="C1366" s="696">
        <v>39</v>
      </c>
      <c r="D1366" s="697" t="s">
        <v>71</v>
      </c>
      <c r="E1366" s="708"/>
      <c r="F1366" s="709"/>
      <c r="G1366" s="39" t="s">
        <v>14</v>
      </c>
      <c r="H1366" s="33">
        <v>46111</v>
      </c>
      <c r="I1366" s="706"/>
      <c r="J1366" s="701"/>
      <c r="K1366" s="702"/>
      <c r="L1366" s="702"/>
      <c r="M1366" s="703"/>
      <c r="N1366" s="704"/>
      <c r="O1366" s="704"/>
      <c r="P1366" s="705"/>
      <c r="Q1366" s="26"/>
      <c r="R1366" s="26"/>
      <c r="S1366" s="37"/>
    </row>
    <row r="1367" spans="1:19" x14ac:dyDescent="0.25">
      <c r="C1367" s="696">
        <v>39</v>
      </c>
      <c r="D1367" s="697" t="s">
        <v>71</v>
      </c>
      <c r="E1367" s="708"/>
      <c r="F1367" s="709"/>
      <c r="G1367" s="39" t="s">
        <v>15</v>
      </c>
      <c r="H1367" s="33">
        <v>46112</v>
      </c>
      <c r="I1367" s="706"/>
      <c r="J1367" s="701"/>
      <c r="K1367" s="702"/>
      <c r="L1367" s="702"/>
      <c r="M1367" s="703"/>
      <c r="N1367" s="704"/>
      <c r="O1367" s="704"/>
      <c r="P1367" s="705"/>
      <c r="Q1367" s="26"/>
      <c r="R1367" s="26"/>
      <c r="S1367" s="37"/>
    </row>
    <row r="1368" spans="1:19" x14ac:dyDescent="0.25">
      <c r="C1368" s="716"/>
      <c r="D1368" s="717"/>
      <c r="E1368" s="718"/>
      <c r="F1368" s="718"/>
      <c r="G1368" s="719"/>
      <c r="H1368" s="720"/>
      <c r="I1368" s="721" t="str">
        <f>D1340</f>
        <v>IRFAN</v>
      </c>
      <c r="J1368" s="722" t="s">
        <v>20</v>
      </c>
      <c r="K1368" s="723"/>
      <c r="L1368" s="723"/>
      <c r="M1368" s="724">
        <f>SUM(M1337:M1367)</f>
        <v>3</v>
      </c>
      <c r="N1368" s="724">
        <f t="shared" ref="N1368:O1368" si="33">SUM(N1337:N1367)</f>
        <v>0</v>
      </c>
      <c r="O1368" s="724">
        <f t="shared" si="33"/>
        <v>0</v>
      </c>
      <c r="P1368" s="725"/>
      <c r="Q1368" s="26"/>
      <c r="R1368" s="26"/>
      <c r="S1368" s="37"/>
    </row>
    <row r="1369" spans="1:19" x14ac:dyDescent="0.2">
      <c r="C1369" s="660"/>
      <c r="D1369" s="661"/>
      <c r="E1369" s="662"/>
      <c r="F1369" s="662"/>
      <c r="G1369" s="663"/>
      <c r="H1369" s="664"/>
      <c r="I1369" s="665"/>
      <c r="J1369" s="665"/>
      <c r="K1369" s="664"/>
      <c r="L1369" s="664"/>
      <c r="M1369" s="664"/>
      <c r="N1369" s="666"/>
      <c r="O1369" s="666"/>
      <c r="P1369" s="667"/>
      <c r="Q1369" s="26"/>
      <c r="R1369" s="26"/>
      <c r="S1369" s="37"/>
    </row>
    <row r="1370" spans="1:19" x14ac:dyDescent="0.2">
      <c r="C1370" s="660"/>
      <c r="D1370" s="661"/>
      <c r="E1370" s="662"/>
      <c r="F1370" s="662"/>
      <c r="G1370" s="663"/>
      <c r="H1370" s="664"/>
      <c r="I1370" s="665"/>
      <c r="J1370" s="665"/>
      <c r="K1370" s="664"/>
      <c r="L1370" s="664"/>
      <c r="M1370" s="664"/>
      <c r="N1370" s="666"/>
      <c r="O1370" s="666"/>
      <c r="P1370" s="667"/>
      <c r="Q1370" s="26"/>
      <c r="R1370" s="26"/>
      <c r="S1370" s="37"/>
    </row>
    <row r="1371" spans="1:19" x14ac:dyDescent="0.2">
      <c r="A1371" t="s">
        <v>72</v>
      </c>
      <c r="C1371" s="365" t="s">
        <v>1</v>
      </c>
      <c r="D1371" s="668" t="s">
        <v>2</v>
      </c>
      <c r="E1371" s="669" t="s">
        <v>3</v>
      </c>
      <c r="F1371" s="669" t="s">
        <v>4</v>
      </c>
      <c r="G1371" s="670" t="s">
        <v>5</v>
      </c>
      <c r="H1371" s="669" t="s">
        <v>6</v>
      </c>
      <c r="I1371" s="671" t="s">
        <v>7</v>
      </c>
      <c r="J1371" s="671" t="s">
        <v>8</v>
      </c>
      <c r="K1371" s="672"/>
      <c r="L1371" s="673"/>
      <c r="M1371" s="673" t="s">
        <v>9</v>
      </c>
      <c r="N1371" s="674" t="s">
        <v>10</v>
      </c>
      <c r="O1371" s="674" t="s">
        <v>11</v>
      </c>
      <c r="P1371" s="675"/>
      <c r="Q1371" s="26"/>
      <c r="R1371" s="26"/>
      <c r="S1371" s="37"/>
    </row>
    <row r="1372" spans="1:19" x14ac:dyDescent="0.25">
      <c r="C1372" s="726">
        <v>40</v>
      </c>
      <c r="D1372" s="1082" t="s">
        <v>73</v>
      </c>
      <c r="E1372" s="1083"/>
      <c r="F1372" s="1084"/>
      <c r="G1372" s="32" t="s">
        <v>13</v>
      </c>
      <c r="H1372" s="33">
        <v>46082</v>
      </c>
      <c r="I1372" s="700"/>
      <c r="J1372" s="701"/>
      <c r="K1372" s="702"/>
      <c r="L1372" s="702"/>
      <c r="M1372" s="703"/>
      <c r="N1372" s="704"/>
      <c r="O1372" s="704"/>
      <c r="P1372" s="705"/>
      <c r="Q1372" s="26"/>
      <c r="R1372" s="26"/>
      <c r="S1372" s="37"/>
    </row>
    <row r="1373" spans="1:19" x14ac:dyDescent="0.25">
      <c r="C1373" s="726">
        <v>40</v>
      </c>
      <c r="D1373" s="1082" t="s">
        <v>73</v>
      </c>
      <c r="E1373" s="1083"/>
      <c r="F1373" s="1084"/>
      <c r="G1373" s="29" t="s">
        <v>14</v>
      </c>
      <c r="H1373" s="33">
        <v>46083</v>
      </c>
      <c r="I1373" s="706">
        <v>0.31806712962962963</v>
      </c>
      <c r="J1373" s="701"/>
      <c r="K1373" s="702"/>
      <c r="L1373" s="702"/>
      <c r="M1373" s="703"/>
      <c r="N1373" s="704"/>
      <c r="O1373" s="704"/>
      <c r="P1373" s="705"/>
      <c r="Q1373" s="26"/>
      <c r="R1373" s="26"/>
      <c r="S1373" s="37"/>
    </row>
    <row r="1374" spans="1:19" x14ac:dyDescent="0.25">
      <c r="C1374" s="726">
        <v>40</v>
      </c>
      <c r="D1374" s="1082" t="s">
        <v>73</v>
      </c>
      <c r="E1374" s="1083"/>
      <c r="F1374" s="1084"/>
      <c r="G1374" s="39" t="s">
        <v>15</v>
      </c>
      <c r="H1374" s="33">
        <v>46084</v>
      </c>
      <c r="I1374" s="707">
        <v>0.31965277777777779</v>
      </c>
      <c r="J1374" s="701">
        <v>0.70870370370370372</v>
      </c>
      <c r="K1374" s="702"/>
      <c r="L1374" s="702"/>
      <c r="M1374" s="703"/>
      <c r="N1374" s="704"/>
      <c r="O1374" s="704"/>
      <c r="P1374" s="705"/>
      <c r="Q1374" s="26"/>
      <c r="R1374" s="26"/>
      <c r="S1374" s="37"/>
    </row>
    <row r="1375" spans="1:19" x14ac:dyDescent="0.25">
      <c r="C1375" s="726">
        <v>40</v>
      </c>
      <c r="D1375" s="1082" t="s">
        <v>73</v>
      </c>
      <c r="E1375" s="1083"/>
      <c r="F1375" s="1084"/>
      <c r="G1375" s="39" t="s">
        <v>16</v>
      </c>
      <c r="H1375" s="33">
        <v>46085</v>
      </c>
      <c r="I1375" s="707">
        <v>0.31923611111111111</v>
      </c>
      <c r="J1375" s="701">
        <v>0.70907407407407408</v>
      </c>
      <c r="K1375" s="702"/>
      <c r="L1375" s="702"/>
      <c r="M1375" s="703"/>
      <c r="N1375" s="704"/>
      <c r="O1375" s="704"/>
      <c r="P1375" s="705"/>
      <c r="Q1375" s="26"/>
      <c r="R1375" s="26"/>
      <c r="S1375" s="37"/>
    </row>
    <row r="1376" spans="1:19" x14ac:dyDescent="0.25">
      <c r="C1376" s="726">
        <v>40</v>
      </c>
      <c r="D1376" s="1082" t="s">
        <v>73</v>
      </c>
      <c r="E1376" s="1083"/>
      <c r="F1376" s="1084"/>
      <c r="G1376" s="39" t="s">
        <v>17</v>
      </c>
      <c r="H1376" s="33">
        <v>46086</v>
      </c>
      <c r="I1376" s="707">
        <v>0.31859953703703703</v>
      </c>
      <c r="J1376" s="701">
        <v>0.70870370370370372</v>
      </c>
      <c r="K1376" s="702"/>
      <c r="L1376" s="702"/>
      <c r="M1376" s="703"/>
      <c r="N1376" s="704"/>
      <c r="O1376" s="704"/>
      <c r="P1376" s="705"/>
      <c r="Q1376" s="26"/>
      <c r="R1376" s="26"/>
      <c r="S1376" s="37"/>
    </row>
    <row r="1377" spans="3:19" x14ac:dyDescent="0.25">
      <c r="C1377" s="726">
        <v>40</v>
      </c>
      <c r="D1377" s="1082" t="s">
        <v>73</v>
      </c>
      <c r="E1377" s="1083"/>
      <c r="F1377" s="1084"/>
      <c r="G1377" s="45" t="s">
        <v>18</v>
      </c>
      <c r="H1377" s="33">
        <v>46087</v>
      </c>
      <c r="I1377" s="707">
        <v>0.31473379629629633</v>
      </c>
      <c r="J1377" s="701">
        <v>0.70896990740740751</v>
      </c>
      <c r="K1377" s="702"/>
      <c r="L1377" s="702"/>
      <c r="M1377" s="703"/>
      <c r="N1377" s="704"/>
      <c r="O1377" s="704"/>
      <c r="P1377" s="705"/>
      <c r="Q1377" s="26"/>
      <c r="R1377" s="26"/>
      <c r="S1377" s="37"/>
    </row>
    <row r="1378" spans="3:19" x14ac:dyDescent="0.25">
      <c r="C1378" s="726">
        <v>40</v>
      </c>
      <c r="D1378" s="1082" t="s">
        <v>73</v>
      </c>
      <c r="E1378" s="1083"/>
      <c r="F1378" s="1084"/>
      <c r="G1378" s="39" t="s">
        <v>19</v>
      </c>
      <c r="H1378" s="33">
        <v>46088</v>
      </c>
      <c r="I1378" s="707">
        <v>0.31562499999999999</v>
      </c>
      <c r="J1378" s="701">
        <v>0.54232638888888884</v>
      </c>
      <c r="K1378" s="702"/>
      <c r="L1378" s="702"/>
      <c r="M1378" s="703"/>
      <c r="N1378" s="704"/>
      <c r="O1378" s="704"/>
      <c r="P1378" s="705"/>
      <c r="Q1378" s="26"/>
      <c r="R1378" s="26"/>
      <c r="S1378" s="37"/>
    </row>
    <row r="1379" spans="3:19" x14ac:dyDescent="0.25">
      <c r="C1379" s="726">
        <v>40</v>
      </c>
      <c r="D1379" s="1082" t="s">
        <v>73</v>
      </c>
      <c r="E1379" s="1083"/>
      <c r="F1379" s="1084"/>
      <c r="G1379" s="46" t="s">
        <v>13</v>
      </c>
      <c r="H1379" s="33">
        <v>46089</v>
      </c>
      <c r="I1379" s="700"/>
      <c r="K1379" s="702"/>
      <c r="L1379" s="702"/>
      <c r="M1379" s="703"/>
      <c r="N1379" s="704"/>
      <c r="O1379" s="704"/>
      <c r="P1379" s="705"/>
      <c r="Q1379" s="26"/>
      <c r="R1379" s="26"/>
      <c r="S1379" s="37"/>
    </row>
    <row r="1380" spans="3:19" x14ac:dyDescent="0.25">
      <c r="C1380" s="726">
        <v>40</v>
      </c>
      <c r="D1380" s="1082" t="s">
        <v>73</v>
      </c>
      <c r="E1380" s="1083"/>
      <c r="F1380" s="1084"/>
      <c r="G1380" s="39" t="s">
        <v>14</v>
      </c>
      <c r="H1380" s="33">
        <v>46090</v>
      </c>
      <c r="I1380" s="5">
        <v>0.31894675925925925</v>
      </c>
      <c r="J1380" s="707">
        <v>0.70881944444444445</v>
      </c>
      <c r="K1380" s="702"/>
      <c r="L1380" s="702"/>
      <c r="M1380" s="703"/>
      <c r="N1380" s="704"/>
      <c r="O1380" s="704"/>
      <c r="P1380" s="705"/>
      <c r="Q1380" s="26"/>
      <c r="R1380" s="26"/>
      <c r="S1380" s="37"/>
    </row>
    <row r="1381" spans="3:19" x14ac:dyDescent="0.25">
      <c r="C1381" s="726">
        <v>40</v>
      </c>
      <c r="D1381" s="1082" t="s">
        <v>73</v>
      </c>
      <c r="E1381" s="1083"/>
      <c r="F1381" s="1084"/>
      <c r="G1381" s="39" t="s">
        <v>15</v>
      </c>
      <c r="H1381" s="33">
        <v>46091</v>
      </c>
      <c r="I1381" s="706">
        <v>0.31488425925925928</v>
      </c>
      <c r="J1381" s="701">
        <v>0.70835648148148145</v>
      </c>
      <c r="K1381" s="702"/>
      <c r="L1381" s="702"/>
      <c r="M1381" s="703"/>
      <c r="N1381" s="704"/>
      <c r="O1381" s="704"/>
      <c r="P1381" s="705"/>
      <c r="Q1381" s="26"/>
      <c r="R1381" s="26"/>
      <c r="S1381" s="37"/>
    </row>
    <row r="1382" spans="3:19" x14ac:dyDescent="0.25">
      <c r="C1382" s="726">
        <v>40</v>
      </c>
      <c r="D1382" s="1082" t="s">
        <v>73</v>
      </c>
      <c r="E1382" s="1083"/>
      <c r="F1382" s="1084"/>
      <c r="G1382" s="39" t="s">
        <v>16</v>
      </c>
      <c r="H1382" s="33">
        <v>46092</v>
      </c>
      <c r="I1382" s="706">
        <v>0.31620370370370371</v>
      </c>
      <c r="J1382" s="701">
        <v>0.70901620370370377</v>
      </c>
      <c r="K1382" s="702"/>
      <c r="L1382" s="702"/>
      <c r="M1382" s="703"/>
      <c r="N1382" s="704"/>
      <c r="O1382" s="704"/>
      <c r="P1382" s="705"/>
      <c r="Q1382" s="26"/>
      <c r="R1382" s="26"/>
      <c r="S1382" s="37"/>
    </row>
    <row r="1383" spans="3:19" x14ac:dyDescent="0.25">
      <c r="C1383" s="726">
        <v>40</v>
      </c>
      <c r="D1383" s="1082" t="s">
        <v>73</v>
      </c>
      <c r="E1383" s="1083"/>
      <c r="F1383" s="1084"/>
      <c r="G1383" s="39" t="s">
        <v>17</v>
      </c>
      <c r="H1383" s="33">
        <v>46093</v>
      </c>
      <c r="I1383" s="706">
        <v>0.31693287037037038</v>
      </c>
      <c r="J1383" s="701">
        <v>0.70887731481481486</v>
      </c>
      <c r="K1383" s="702"/>
      <c r="L1383" s="702"/>
      <c r="M1383" s="703"/>
      <c r="N1383" s="704"/>
      <c r="O1383" s="704"/>
      <c r="P1383" s="705"/>
      <c r="Q1383" s="26"/>
      <c r="R1383" s="26"/>
      <c r="S1383" s="37"/>
    </row>
    <row r="1384" spans="3:19" x14ac:dyDescent="0.25">
      <c r="C1384" s="726">
        <v>40</v>
      </c>
      <c r="D1384" s="1082" t="s">
        <v>73</v>
      </c>
      <c r="E1384" s="1083"/>
      <c r="F1384" s="1084"/>
      <c r="G1384" s="48" t="s">
        <v>18</v>
      </c>
      <c r="H1384" s="33">
        <v>46094</v>
      </c>
      <c r="I1384" s="706">
        <v>0.31859953703703703</v>
      </c>
      <c r="J1384" s="701">
        <v>0.70866898148148139</v>
      </c>
      <c r="K1384" s="702"/>
      <c r="L1384" s="702"/>
      <c r="M1384" s="703"/>
      <c r="N1384" s="704"/>
      <c r="O1384" s="704"/>
      <c r="P1384" s="705"/>
      <c r="Q1384" s="26"/>
      <c r="R1384" s="26"/>
      <c r="S1384" s="37"/>
    </row>
    <row r="1385" spans="3:19" x14ac:dyDescent="0.25">
      <c r="C1385" s="726">
        <v>40</v>
      </c>
      <c r="D1385" s="1082" t="s">
        <v>73</v>
      </c>
      <c r="E1385" s="1083"/>
      <c r="F1385" s="1084"/>
      <c r="G1385" s="39" t="s">
        <v>19</v>
      </c>
      <c r="H1385" s="33">
        <v>46095</v>
      </c>
      <c r="I1385" s="706">
        <v>0.32821759259259259</v>
      </c>
      <c r="J1385" s="701"/>
      <c r="K1385" s="702"/>
      <c r="L1385" s="702"/>
      <c r="M1385" s="703"/>
      <c r="N1385" s="704"/>
      <c r="O1385" s="704"/>
      <c r="P1385" s="705"/>
      <c r="Q1385" s="26"/>
      <c r="R1385" s="26"/>
      <c r="S1385" s="37"/>
    </row>
    <row r="1386" spans="3:19" x14ac:dyDescent="0.25">
      <c r="C1386" s="726">
        <v>40</v>
      </c>
      <c r="D1386" s="727" t="s">
        <v>73</v>
      </c>
      <c r="E1386" s="728"/>
      <c r="F1386" s="728"/>
      <c r="G1386" s="46" t="s">
        <v>13</v>
      </c>
      <c r="H1386" s="33">
        <v>46096</v>
      </c>
      <c r="I1386" s="706"/>
      <c r="J1386" s="701"/>
      <c r="K1386" s="702"/>
      <c r="L1386" s="702"/>
      <c r="M1386" s="703"/>
      <c r="N1386" s="704"/>
      <c r="O1386" s="704"/>
      <c r="P1386" s="44"/>
      <c r="Q1386" s="26"/>
      <c r="R1386" s="26"/>
      <c r="S1386" s="37"/>
    </row>
    <row r="1387" spans="3:19" x14ac:dyDescent="0.25">
      <c r="C1387" s="726">
        <v>40</v>
      </c>
      <c r="D1387" s="727" t="s">
        <v>73</v>
      </c>
      <c r="E1387" s="728"/>
      <c r="F1387" s="728"/>
      <c r="G1387" s="39" t="s">
        <v>14</v>
      </c>
      <c r="H1387" s="33">
        <v>46097</v>
      </c>
      <c r="I1387" s="706"/>
      <c r="J1387" s="701"/>
      <c r="K1387" s="702"/>
      <c r="L1387" s="702"/>
      <c r="M1387" s="703"/>
      <c r="N1387" s="704"/>
      <c r="O1387" s="704"/>
      <c r="P1387" s="705"/>
      <c r="Q1387" s="26"/>
      <c r="R1387" s="26"/>
      <c r="S1387" s="37"/>
    </row>
    <row r="1388" spans="3:19" x14ac:dyDescent="0.25">
      <c r="C1388" s="726">
        <v>40</v>
      </c>
      <c r="D1388" s="727" t="s">
        <v>73</v>
      </c>
      <c r="E1388" s="728"/>
      <c r="F1388" s="728"/>
      <c r="G1388" s="39" t="s">
        <v>15</v>
      </c>
      <c r="H1388" s="33">
        <v>46098</v>
      </c>
      <c r="I1388" s="706"/>
      <c r="J1388" s="701"/>
      <c r="K1388" s="702"/>
      <c r="L1388" s="702"/>
      <c r="M1388" s="703"/>
      <c r="N1388" s="704"/>
      <c r="O1388" s="704"/>
      <c r="P1388" s="705"/>
      <c r="Q1388" s="26"/>
      <c r="R1388" s="26"/>
      <c r="S1388" s="37"/>
    </row>
    <row r="1389" spans="3:19" x14ac:dyDescent="0.25">
      <c r="C1389" s="726">
        <v>40</v>
      </c>
      <c r="D1389" s="727" t="s">
        <v>73</v>
      </c>
      <c r="E1389" s="728"/>
      <c r="F1389" s="728"/>
      <c r="G1389" s="39" t="s">
        <v>16</v>
      </c>
      <c r="H1389" s="33">
        <v>46099</v>
      </c>
      <c r="I1389" s="706"/>
      <c r="J1389" s="701"/>
      <c r="K1389" s="702"/>
      <c r="L1389" s="702"/>
      <c r="M1389" s="703"/>
      <c r="N1389" s="704"/>
      <c r="O1389" s="704"/>
      <c r="P1389" s="705"/>
      <c r="Q1389" s="26"/>
      <c r="R1389" s="26"/>
      <c r="S1389" s="37"/>
    </row>
    <row r="1390" spans="3:19" x14ac:dyDescent="0.25">
      <c r="C1390" s="726">
        <v>40</v>
      </c>
      <c r="D1390" s="727" t="s">
        <v>73</v>
      </c>
      <c r="E1390" s="728"/>
      <c r="F1390" s="728"/>
      <c r="G1390" s="39" t="s">
        <v>17</v>
      </c>
      <c r="H1390" s="33">
        <v>46100</v>
      </c>
      <c r="I1390" s="706"/>
      <c r="J1390" s="701"/>
      <c r="K1390" s="702"/>
      <c r="L1390" s="702"/>
      <c r="M1390" s="703"/>
      <c r="N1390" s="704"/>
      <c r="O1390" s="704"/>
      <c r="P1390" s="705"/>
      <c r="Q1390" s="26"/>
      <c r="R1390" s="26"/>
      <c r="S1390" s="37"/>
    </row>
    <row r="1391" spans="3:19" x14ac:dyDescent="0.25">
      <c r="C1391" s="726">
        <v>40</v>
      </c>
      <c r="D1391" s="727" t="s">
        <v>73</v>
      </c>
      <c r="E1391" s="728"/>
      <c r="F1391" s="728"/>
      <c r="G1391" s="39" t="s">
        <v>18</v>
      </c>
      <c r="H1391" s="33">
        <v>46101</v>
      </c>
      <c r="I1391" s="706"/>
      <c r="J1391" s="701"/>
      <c r="K1391" s="702"/>
      <c r="L1391" s="702"/>
      <c r="M1391" s="703"/>
      <c r="N1391" s="704"/>
      <c r="O1391" s="704"/>
      <c r="P1391" s="705"/>
      <c r="Q1391" s="26"/>
      <c r="R1391" s="26"/>
      <c r="S1391" s="37"/>
    </row>
    <row r="1392" spans="3:19" x14ac:dyDescent="0.25">
      <c r="C1392" s="726">
        <v>40</v>
      </c>
      <c r="D1392" s="727" t="s">
        <v>73</v>
      </c>
      <c r="E1392" s="728"/>
      <c r="F1392" s="728"/>
      <c r="G1392" s="39" t="s">
        <v>19</v>
      </c>
      <c r="H1392" s="33">
        <v>46102</v>
      </c>
      <c r="I1392" s="706"/>
      <c r="J1392" s="701"/>
      <c r="K1392" s="702"/>
      <c r="L1392" s="702"/>
      <c r="M1392" s="703"/>
      <c r="N1392" s="704"/>
      <c r="O1392" s="704"/>
      <c r="P1392" s="705"/>
      <c r="Q1392" s="26"/>
      <c r="R1392" s="26"/>
      <c r="S1392" s="37"/>
    </row>
    <row r="1393" spans="3:19" x14ac:dyDescent="0.25">
      <c r="C1393" s="726">
        <v>40</v>
      </c>
      <c r="D1393" s="727" t="s">
        <v>73</v>
      </c>
      <c r="E1393" s="728"/>
      <c r="F1393" s="728"/>
      <c r="G1393" s="46" t="s">
        <v>13</v>
      </c>
      <c r="H1393" s="33">
        <v>46103</v>
      </c>
      <c r="I1393" s="706"/>
      <c r="J1393" s="701"/>
      <c r="K1393" s="702"/>
      <c r="L1393" s="702"/>
      <c r="M1393" s="703"/>
      <c r="N1393" s="704"/>
      <c r="O1393" s="704"/>
      <c r="P1393" s="705"/>
      <c r="Q1393" s="26"/>
      <c r="R1393" s="26"/>
      <c r="S1393" s="37"/>
    </row>
    <row r="1394" spans="3:19" x14ac:dyDescent="0.25">
      <c r="C1394" s="726">
        <v>40</v>
      </c>
      <c r="D1394" s="727" t="s">
        <v>73</v>
      </c>
      <c r="E1394" s="728"/>
      <c r="F1394" s="728"/>
      <c r="G1394" s="39" t="s">
        <v>14</v>
      </c>
      <c r="H1394" s="33">
        <v>46104</v>
      </c>
      <c r="I1394" s="706"/>
      <c r="J1394" s="701"/>
      <c r="K1394" s="702"/>
      <c r="L1394" s="702"/>
      <c r="M1394" s="703"/>
      <c r="N1394" s="704"/>
      <c r="O1394" s="704"/>
      <c r="P1394" s="705"/>
      <c r="Q1394" s="26"/>
      <c r="R1394" s="26"/>
      <c r="S1394" s="37"/>
    </row>
    <row r="1395" spans="3:19" x14ac:dyDescent="0.25">
      <c r="C1395" s="726">
        <v>40</v>
      </c>
      <c r="D1395" s="727" t="s">
        <v>73</v>
      </c>
      <c r="E1395" s="728"/>
      <c r="F1395" s="728"/>
      <c r="G1395" s="39" t="s">
        <v>15</v>
      </c>
      <c r="H1395" s="33">
        <v>46105</v>
      </c>
      <c r="I1395" s="706"/>
      <c r="J1395" s="701"/>
      <c r="K1395" s="702"/>
      <c r="L1395" s="702"/>
      <c r="M1395" s="703"/>
      <c r="N1395" s="704"/>
      <c r="O1395" s="704"/>
      <c r="P1395" s="705"/>
      <c r="Q1395" s="26"/>
      <c r="R1395" s="26"/>
      <c r="S1395" s="37"/>
    </row>
    <row r="1396" spans="3:19" x14ac:dyDescent="0.25">
      <c r="C1396" s="726">
        <v>40</v>
      </c>
      <c r="D1396" s="727" t="s">
        <v>73</v>
      </c>
      <c r="E1396" s="728"/>
      <c r="F1396" s="728"/>
      <c r="G1396" s="39" t="s">
        <v>16</v>
      </c>
      <c r="H1396" s="33">
        <v>46106</v>
      </c>
      <c r="I1396" s="706"/>
      <c r="J1396" s="701"/>
      <c r="K1396" s="702"/>
      <c r="L1396" s="702"/>
      <c r="M1396" s="703"/>
      <c r="N1396" s="704"/>
      <c r="O1396" s="704"/>
      <c r="P1396" s="705"/>
      <c r="Q1396" s="26"/>
      <c r="R1396" s="26"/>
      <c r="S1396" s="37"/>
    </row>
    <row r="1397" spans="3:19" x14ac:dyDescent="0.25">
      <c r="C1397" s="726">
        <v>40</v>
      </c>
      <c r="D1397" s="727" t="s">
        <v>73</v>
      </c>
      <c r="E1397" s="728"/>
      <c r="F1397" s="728"/>
      <c r="G1397" s="39" t="s">
        <v>17</v>
      </c>
      <c r="H1397" s="33">
        <v>46107</v>
      </c>
      <c r="I1397" s="706"/>
      <c r="J1397" s="701"/>
      <c r="K1397" s="702"/>
      <c r="L1397" s="702"/>
      <c r="M1397" s="703"/>
      <c r="N1397" s="704"/>
      <c r="O1397" s="704"/>
      <c r="P1397" s="705"/>
      <c r="Q1397" s="26"/>
      <c r="R1397" s="26"/>
      <c r="S1397" s="37"/>
    </row>
    <row r="1398" spans="3:19" x14ac:dyDescent="0.25">
      <c r="C1398" s="726">
        <v>40</v>
      </c>
      <c r="D1398" s="727" t="s">
        <v>73</v>
      </c>
      <c r="E1398" s="728"/>
      <c r="F1398" s="728"/>
      <c r="G1398" s="39" t="s">
        <v>18</v>
      </c>
      <c r="H1398" s="33">
        <v>46108</v>
      </c>
      <c r="I1398" s="706"/>
      <c r="J1398" s="701"/>
      <c r="K1398" s="702"/>
      <c r="L1398" s="702"/>
      <c r="M1398" s="703"/>
      <c r="N1398" s="704"/>
      <c r="O1398" s="704"/>
      <c r="P1398" s="705"/>
      <c r="Q1398" s="26"/>
      <c r="R1398" s="26"/>
      <c r="S1398" s="37"/>
    </row>
    <row r="1399" spans="3:19" x14ac:dyDescent="0.25">
      <c r="C1399" s="726">
        <v>40</v>
      </c>
      <c r="D1399" s="727" t="s">
        <v>73</v>
      </c>
      <c r="E1399" s="728"/>
      <c r="F1399" s="728"/>
      <c r="G1399" s="39" t="s">
        <v>19</v>
      </c>
      <c r="H1399" s="33">
        <v>46109</v>
      </c>
      <c r="I1399" s="706"/>
      <c r="J1399" s="701"/>
      <c r="K1399" s="702"/>
      <c r="L1399" s="702"/>
      <c r="M1399" s="703"/>
      <c r="N1399" s="704"/>
      <c r="O1399" s="704"/>
      <c r="P1399" s="705"/>
      <c r="Q1399" s="26"/>
      <c r="R1399" s="26"/>
      <c r="S1399" s="37"/>
    </row>
    <row r="1400" spans="3:19" x14ac:dyDescent="0.25">
      <c r="C1400" s="726">
        <v>40</v>
      </c>
      <c r="D1400" s="727" t="s">
        <v>73</v>
      </c>
      <c r="E1400" s="728"/>
      <c r="F1400" s="728"/>
      <c r="G1400" s="46" t="s">
        <v>13</v>
      </c>
      <c r="H1400" s="33">
        <v>46110</v>
      </c>
      <c r="I1400" s="706"/>
      <c r="J1400" s="701"/>
      <c r="K1400" s="702"/>
      <c r="L1400" s="702"/>
      <c r="M1400" s="703"/>
      <c r="N1400" s="704"/>
      <c r="O1400" s="704"/>
      <c r="P1400" s="705"/>
      <c r="Q1400" s="26"/>
      <c r="R1400" s="26"/>
      <c r="S1400" s="37"/>
    </row>
    <row r="1401" spans="3:19" x14ac:dyDescent="0.25">
      <c r="C1401" s="726">
        <v>40</v>
      </c>
      <c r="D1401" s="727" t="s">
        <v>73</v>
      </c>
      <c r="E1401" s="728"/>
      <c r="F1401" s="728"/>
      <c r="G1401" s="39" t="s">
        <v>14</v>
      </c>
      <c r="H1401" s="33">
        <v>46111</v>
      </c>
      <c r="I1401" s="706"/>
      <c r="J1401" s="701"/>
      <c r="K1401" s="702"/>
      <c r="L1401" s="702"/>
      <c r="M1401" s="703"/>
      <c r="N1401" s="704"/>
      <c r="O1401" s="704"/>
      <c r="P1401" s="705"/>
      <c r="Q1401" s="26"/>
      <c r="R1401" s="26"/>
      <c r="S1401" s="37"/>
    </row>
    <row r="1402" spans="3:19" x14ac:dyDescent="0.25">
      <c r="C1402" s="726">
        <v>40</v>
      </c>
      <c r="D1402" s="727" t="s">
        <v>73</v>
      </c>
      <c r="E1402" s="728"/>
      <c r="F1402" s="728"/>
      <c r="G1402" s="39" t="s">
        <v>15</v>
      </c>
      <c r="H1402" s="33">
        <v>46112</v>
      </c>
      <c r="I1402" s="706"/>
      <c r="J1402" s="701"/>
      <c r="K1402" s="702"/>
      <c r="L1402" s="702"/>
      <c r="M1402" s="703"/>
      <c r="N1402" s="704"/>
      <c r="O1402" s="704"/>
      <c r="P1402" s="705"/>
      <c r="Q1402" s="26"/>
      <c r="R1402" s="26"/>
      <c r="S1402" s="37"/>
    </row>
    <row r="1403" spans="3:19" x14ac:dyDescent="0.25">
      <c r="C1403" s="726"/>
      <c r="D1403" s="727"/>
      <c r="E1403" s="728"/>
      <c r="F1403" s="728"/>
      <c r="G1403" s="39"/>
      <c r="H1403" s="33"/>
      <c r="I1403" s="701"/>
      <c r="J1403" s="701"/>
      <c r="K1403" s="712"/>
      <c r="L1403" s="712"/>
      <c r="M1403" s="713"/>
      <c r="N1403" s="714"/>
      <c r="O1403" s="714"/>
      <c r="P1403" s="705"/>
      <c r="Q1403" s="26"/>
      <c r="R1403" s="26"/>
      <c r="S1403" s="37"/>
    </row>
    <row r="1404" spans="3:19" x14ac:dyDescent="0.25">
      <c r="C1404" s="726"/>
      <c r="D1404" s="727"/>
      <c r="E1404" s="728"/>
      <c r="F1404" s="728"/>
      <c r="G1404" s="39"/>
      <c r="H1404" s="33"/>
      <c r="I1404" s="701"/>
      <c r="J1404" s="701"/>
      <c r="K1404" s="712"/>
      <c r="L1404" s="712"/>
      <c r="M1404" s="713"/>
      <c r="N1404" s="714"/>
      <c r="O1404" s="714"/>
      <c r="P1404" s="705"/>
      <c r="Q1404" s="26"/>
      <c r="R1404" s="26"/>
      <c r="S1404" s="37"/>
    </row>
    <row r="1405" spans="3:19" x14ac:dyDescent="0.25">
      <c r="C1405" s="716"/>
      <c r="D1405" s="717"/>
      <c r="E1405" s="718"/>
      <c r="F1405" s="718"/>
      <c r="G1405" s="719"/>
      <c r="H1405" s="720"/>
      <c r="I1405" s="721" t="str">
        <f>D1375</f>
        <v>NOSITA A</v>
      </c>
      <c r="J1405" s="722" t="s">
        <v>20</v>
      </c>
      <c r="K1405" s="723"/>
      <c r="L1405" s="723"/>
      <c r="M1405" s="724">
        <f>SUM(M1372:M1404)</f>
        <v>0</v>
      </c>
      <c r="N1405" s="724">
        <f t="shared" ref="N1405:O1405" si="34">SUM(N1372:N1404)</f>
        <v>0</v>
      </c>
      <c r="O1405" s="724">
        <f t="shared" si="34"/>
        <v>0</v>
      </c>
      <c r="P1405" s="725"/>
      <c r="Q1405" s="26"/>
      <c r="R1405" s="26"/>
      <c r="S1405" s="37"/>
    </row>
    <row r="1406" spans="3:19" x14ac:dyDescent="0.2">
      <c r="C1406" s="729"/>
      <c r="D1406" s="730"/>
      <c r="E1406" s="731"/>
      <c r="F1406" s="731"/>
      <c r="G1406" s="732"/>
      <c r="H1406" s="733"/>
      <c r="I1406" s="734"/>
      <c r="J1406" s="734"/>
      <c r="K1406" s="733"/>
      <c r="L1406" s="733"/>
      <c r="M1406" s="733"/>
      <c r="N1406" s="735"/>
      <c r="O1406" s="735"/>
      <c r="P1406" s="736"/>
      <c r="Q1406" s="26"/>
      <c r="R1406" s="26"/>
      <c r="S1406" s="37"/>
    </row>
    <row r="1407" spans="3:19" x14ac:dyDescent="0.2">
      <c r="C1407" s="58"/>
      <c r="D1407" s="59"/>
      <c r="E1407" s="60"/>
      <c r="F1407" s="60"/>
      <c r="G1407" s="61"/>
      <c r="H1407" s="62"/>
      <c r="I1407" s="63"/>
      <c r="J1407" s="63"/>
      <c r="K1407" s="62"/>
      <c r="L1407" s="62"/>
      <c r="M1407" s="62"/>
      <c r="N1407" s="64"/>
      <c r="O1407" s="64"/>
      <c r="P1407" s="65"/>
      <c r="Q1407" s="26"/>
      <c r="R1407" s="26"/>
      <c r="S1407" s="37"/>
    </row>
    <row r="1408" spans="3:19" x14ac:dyDescent="0.2">
      <c r="C1408" s="365" t="s">
        <v>1</v>
      </c>
      <c r="D1408" s="668" t="s">
        <v>2</v>
      </c>
      <c r="E1408" s="669" t="s">
        <v>3</v>
      </c>
      <c r="F1408" s="669" t="s">
        <v>4</v>
      </c>
      <c r="G1408" s="670" t="s">
        <v>5</v>
      </c>
      <c r="H1408" s="669" t="s">
        <v>6</v>
      </c>
      <c r="I1408" s="671" t="s">
        <v>7</v>
      </c>
      <c r="J1408" s="671" t="s">
        <v>8</v>
      </c>
      <c r="K1408" s="672"/>
      <c r="L1408" s="673"/>
      <c r="M1408" s="673" t="s">
        <v>9</v>
      </c>
      <c r="N1408" s="674" t="s">
        <v>10</v>
      </c>
      <c r="O1408" s="674" t="s">
        <v>11</v>
      </c>
      <c r="P1408" s="675"/>
      <c r="Q1408" s="26"/>
      <c r="R1408" s="26"/>
      <c r="S1408" s="37"/>
    </row>
    <row r="1409" spans="3:19" x14ac:dyDescent="0.25">
      <c r="C1409" s="737">
        <v>41</v>
      </c>
      <c r="D1409" s="738" t="s">
        <v>74</v>
      </c>
      <c r="E1409" s="739" t="s">
        <v>22</v>
      </c>
      <c r="F1409" s="740" t="s">
        <v>22</v>
      </c>
      <c r="G1409" s="32" t="s">
        <v>13</v>
      </c>
      <c r="H1409" s="33">
        <v>46082</v>
      </c>
      <c r="I1409" s="741"/>
      <c r="J1409" s="742"/>
      <c r="K1409" s="743"/>
      <c r="L1409" s="743"/>
      <c r="M1409" s="744"/>
      <c r="N1409" s="745"/>
      <c r="O1409" s="745"/>
      <c r="P1409" s="746"/>
      <c r="Q1409" s="26"/>
      <c r="R1409" s="26"/>
      <c r="S1409" s="37"/>
    </row>
    <row r="1410" spans="3:19" x14ac:dyDescent="0.25">
      <c r="C1410" s="737">
        <v>41</v>
      </c>
      <c r="D1410" s="738" t="s">
        <v>74</v>
      </c>
      <c r="E1410" s="739" t="s">
        <v>22</v>
      </c>
      <c r="F1410" s="740" t="s">
        <v>22</v>
      </c>
      <c r="G1410" s="29" t="s">
        <v>14</v>
      </c>
      <c r="H1410" s="33">
        <v>46083</v>
      </c>
      <c r="I1410" s="747">
        <v>0.32564814814814813</v>
      </c>
      <c r="J1410" s="742"/>
      <c r="K1410" s="743"/>
      <c r="L1410" s="743"/>
      <c r="M1410" s="744"/>
      <c r="N1410" s="745"/>
      <c r="O1410" s="745"/>
      <c r="P1410" s="746"/>
      <c r="Q1410" s="26"/>
      <c r="R1410" s="26"/>
      <c r="S1410" s="37"/>
    </row>
    <row r="1411" spans="3:19" x14ac:dyDescent="0.25">
      <c r="C1411" s="737">
        <v>41</v>
      </c>
      <c r="D1411" s="738" t="s">
        <v>74</v>
      </c>
      <c r="E1411" s="739" t="s">
        <v>22</v>
      </c>
      <c r="F1411" s="740" t="s">
        <v>22</v>
      </c>
      <c r="G1411" s="39" t="s">
        <v>15</v>
      </c>
      <c r="H1411" s="33">
        <v>46084</v>
      </c>
      <c r="I1411" s="748">
        <v>0.33423611111111112</v>
      </c>
      <c r="J1411" s="742">
        <v>0.70917824074074076</v>
      </c>
      <c r="K1411" s="743"/>
      <c r="L1411" s="743"/>
      <c r="M1411" s="744"/>
      <c r="N1411" s="745"/>
      <c r="O1411" s="745"/>
      <c r="P1411" s="746"/>
      <c r="Q1411" s="26"/>
      <c r="R1411" s="26"/>
      <c r="S1411" s="37"/>
    </row>
    <row r="1412" spans="3:19" x14ac:dyDescent="0.25">
      <c r="C1412" s="737">
        <v>41</v>
      </c>
      <c r="D1412" s="738" t="s">
        <v>74</v>
      </c>
      <c r="E1412" s="739" t="s">
        <v>22</v>
      </c>
      <c r="F1412" s="740" t="s">
        <v>22</v>
      </c>
      <c r="G1412" s="39" t="s">
        <v>16</v>
      </c>
      <c r="H1412" s="33">
        <v>46085</v>
      </c>
      <c r="I1412" s="748">
        <v>0.32802083333333337</v>
      </c>
      <c r="J1412" s="742">
        <v>0.70884259259259252</v>
      </c>
      <c r="K1412" s="743"/>
      <c r="L1412" s="743"/>
      <c r="M1412" s="744"/>
      <c r="N1412" s="745"/>
      <c r="O1412" s="745"/>
      <c r="P1412" s="746"/>
      <c r="Q1412" s="26"/>
      <c r="R1412" s="26"/>
      <c r="S1412" s="37"/>
    </row>
    <row r="1413" spans="3:19" x14ac:dyDescent="0.25">
      <c r="C1413" s="737">
        <v>41</v>
      </c>
      <c r="D1413" s="738" t="s">
        <v>74</v>
      </c>
      <c r="E1413" s="749" t="s">
        <v>22</v>
      </c>
      <c r="F1413" s="750"/>
      <c r="G1413" s="39" t="s">
        <v>17</v>
      </c>
      <c r="H1413" s="33">
        <v>46086</v>
      </c>
      <c r="I1413" s="748">
        <v>0.32921296296296299</v>
      </c>
      <c r="J1413" s="742">
        <v>0.70928240740740733</v>
      </c>
      <c r="K1413" s="743"/>
      <c r="L1413" s="743"/>
      <c r="M1413" s="744"/>
      <c r="N1413" s="745"/>
      <c r="O1413" s="745"/>
      <c r="P1413" s="746"/>
      <c r="Q1413" s="26"/>
      <c r="R1413" s="26"/>
      <c r="S1413" s="37"/>
    </row>
    <row r="1414" spans="3:19" x14ac:dyDescent="0.25">
      <c r="C1414" s="737">
        <v>41</v>
      </c>
      <c r="D1414" s="738" t="s">
        <v>74</v>
      </c>
      <c r="E1414" s="749" t="s">
        <v>22</v>
      </c>
      <c r="F1414" s="750" t="s">
        <v>22</v>
      </c>
      <c r="G1414" s="45" t="s">
        <v>18</v>
      </c>
      <c r="H1414" s="33">
        <v>46087</v>
      </c>
      <c r="I1414" s="748">
        <v>0.3260763888888889</v>
      </c>
      <c r="J1414" s="742"/>
      <c r="K1414" s="743"/>
      <c r="L1414" s="743"/>
      <c r="M1414" s="744"/>
      <c r="N1414" s="745"/>
      <c r="O1414" s="745"/>
      <c r="P1414" s="746"/>
      <c r="Q1414" s="26"/>
      <c r="R1414" s="26"/>
      <c r="S1414" s="37"/>
    </row>
    <row r="1415" spans="3:19" x14ac:dyDescent="0.25">
      <c r="C1415" s="737">
        <v>41</v>
      </c>
      <c r="D1415" s="738" t="s">
        <v>74</v>
      </c>
      <c r="E1415" s="749" t="s">
        <v>22</v>
      </c>
      <c r="F1415" s="750" t="s">
        <v>22</v>
      </c>
      <c r="G1415" s="39" t="s">
        <v>19</v>
      </c>
      <c r="H1415" s="33">
        <v>46088</v>
      </c>
      <c r="I1415" s="748">
        <v>0.32673611111111112</v>
      </c>
      <c r="J1415" s="742">
        <v>0.54344907407407406</v>
      </c>
      <c r="K1415" s="743"/>
      <c r="L1415" s="743"/>
      <c r="M1415" s="744"/>
      <c r="N1415" s="745"/>
      <c r="O1415" s="745"/>
      <c r="P1415" s="746"/>
      <c r="Q1415" s="26"/>
      <c r="R1415" s="26"/>
      <c r="S1415" s="37"/>
    </row>
    <row r="1416" spans="3:19" x14ac:dyDescent="0.25">
      <c r="C1416" s="737">
        <v>41</v>
      </c>
      <c r="D1416" s="738" t="s">
        <v>74</v>
      </c>
      <c r="E1416" s="749" t="s">
        <v>22</v>
      </c>
      <c r="F1416" s="750" t="s">
        <v>22</v>
      </c>
      <c r="G1416" s="46" t="s">
        <v>13</v>
      </c>
      <c r="H1416" s="33">
        <v>46089</v>
      </c>
      <c r="I1416" s="741"/>
      <c r="K1416" s="743"/>
      <c r="L1416" s="743"/>
      <c r="M1416" s="744"/>
      <c r="N1416" s="745"/>
      <c r="O1416" s="745"/>
      <c r="P1416" s="746"/>
      <c r="Q1416" s="26"/>
      <c r="R1416" s="26"/>
      <c r="S1416" s="37"/>
    </row>
    <row r="1417" spans="3:19" x14ac:dyDescent="0.25">
      <c r="C1417" s="737">
        <v>41</v>
      </c>
      <c r="D1417" s="738" t="s">
        <v>74</v>
      </c>
      <c r="E1417" s="749" t="s">
        <v>22</v>
      </c>
      <c r="F1417" s="750" t="s">
        <v>22</v>
      </c>
      <c r="G1417" s="39" t="s">
        <v>14</v>
      </c>
      <c r="H1417" s="33">
        <v>46090</v>
      </c>
      <c r="I1417" s="5">
        <v>0.32504629629629628</v>
      </c>
      <c r="J1417" s="748">
        <v>0.70890046296296294</v>
      </c>
      <c r="K1417" s="743"/>
      <c r="L1417" s="743"/>
      <c r="M1417" s="744"/>
      <c r="N1417" s="745"/>
      <c r="O1417" s="745"/>
      <c r="P1417" s="746"/>
      <c r="Q1417" s="26"/>
      <c r="R1417" s="26"/>
      <c r="S1417" s="37"/>
    </row>
    <row r="1418" spans="3:19" x14ac:dyDescent="0.25">
      <c r="C1418" s="737">
        <v>41</v>
      </c>
      <c r="D1418" s="738" t="s">
        <v>74</v>
      </c>
      <c r="E1418" s="749" t="s">
        <v>22</v>
      </c>
      <c r="F1418" s="750" t="s">
        <v>22</v>
      </c>
      <c r="G1418" s="39" t="s">
        <v>15</v>
      </c>
      <c r="H1418" s="33">
        <v>46091</v>
      </c>
      <c r="I1418" s="747">
        <v>0.32621527777777776</v>
      </c>
      <c r="J1418" s="742">
        <v>0.70847222222222228</v>
      </c>
      <c r="K1418" s="743"/>
      <c r="L1418" s="743"/>
      <c r="M1418" s="744"/>
      <c r="N1418" s="745"/>
      <c r="O1418" s="745"/>
      <c r="P1418" s="746"/>
      <c r="Q1418" s="26"/>
      <c r="R1418" s="26"/>
      <c r="S1418" s="37"/>
    </row>
    <row r="1419" spans="3:19" x14ac:dyDescent="0.25">
      <c r="C1419" s="737">
        <v>41</v>
      </c>
      <c r="D1419" s="738" t="s">
        <v>74</v>
      </c>
      <c r="E1419" s="739" t="s">
        <v>22</v>
      </c>
      <c r="F1419" s="740" t="s">
        <v>22</v>
      </c>
      <c r="G1419" s="39" t="s">
        <v>16</v>
      </c>
      <c r="H1419" s="33">
        <v>46092</v>
      </c>
      <c r="I1419" s="747">
        <v>0.32793981481481482</v>
      </c>
      <c r="J1419" s="742">
        <v>0.70908564814814812</v>
      </c>
      <c r="K1419" s="743"/>
      <c r="L1419" s="743"/>
      <c r="M1419" s="744"/>
      <c r="N1419" s="745"/>
      <c r="O1419" s="745"/>
      <c r="P1419" s="746"/>
      <c r="Q1419" s="26"/>
      <c r="R1419" s="26"/>
      <c r="S1419" s="37"/>
    </row>
    <row r="1420" spans="3:19" x14ac:dyDescent="0.25">
      <c r="C1420" s="737">
        <v>41</v>
      </c>
      <c r="D1420" s="738" t="s">
        <v>74</v>
      </c>
      <c r="E1420" s="749" t="s">
        <v>22</v>
      </c>
      <c r="F1420" s="750" t="s">
        <v>22</v>
      </c>
      <c r="G1420" s="39" t="s">
        <v>17</v>
      </c>
      <c r="H1420" s="33">
        <v>46093</v>
      </c>
      <c r="I1420" s="747">
        <v>0.32581018518518517</v>
      </c>
      <c r="J1420" s="742">
        <v>0.70936342592592594</v>
      </c>
      <c r="K1420" s="743"/>
      <c r="L1420" s="743"/>
      <c r="M1420" s="744"/>
      <c r="N1420" s="745"/>
      <c r="O1420" s="745"/>
      <c r="P1420" s="746"/>
      <c r="Q1420" s="26"/>
      <c r="R1420" s="26"/>
      <c r="S1420" s="37"/>
    </row>
    <row r="1421" spans="3:19" x14ac:dyDescent="0.25">
      <c r="C1421" s="737">
        <v>41</v>
      </c>
      <c r="D1421" s="738" t="s">
        <v>74</v>
      </c>
      <c r="E1421" s="749"/>
      <c r="F1421" s="750"/>
      <c r="G1421" s="48" t="s">
        <v>18</v>
      </c>
      <c r="H1421" s="33">
        <v>46094</v>
      </c>
      <c r="I1421" s="747">
        <v>0.32909722222222221</v>
      </c>
      <c r="J1421" s="742">
        <v>0.70863425925925927</v>
      </c>
      <c r="K1421" s="743"/>
      <c r="L1421" s="743"/>
      <c r="M1421" s="744"/>
      <c r="N1421" s="745"/>
      <c r="O1421" s="745"/>
      <c r="P1421" s="746"/>
      <c r="Q1421" s="26"/>
      <c r="R1421" s="26"/>
      <c r="S1421" s="37"/>
    </row>
    <row r="1422" spans="3:19" x14ac:dyDescent="0.25">
      <c r="C1422" s="737">
        <v>41</v>
      </c>
      <c r="D1422" s="738" t="s">
        <v>74</v>
      </c>
      <c r="E1422" s="749"/>
      <c r="F1422" s="750"/>
      <c r="G1422" s="39" t="s">
        <v>19</v>
      </c>
      <c r="H1422" s="33">
        <v>46095</v>
      </c>
      <c r="I1422" s="747">
        <v>0.32850694444444445</v>
      </c>
      <c r="J1422" s="742"/>
      <c r="K1422" s="743"/>
      <c r="L1422" s="743"/>
      <c r="M1422" s="744"/>
      <c r="N1422" s="745"/>
      <c r="O1422" s="745"/>
      <c r="P1422" s="746"/>
      <c r="Q1422" s="26"/>
      <c r="R1422" s="26"/>
      <c r="S1422" s="37"/>
    </row>
    <row r="1423" spans="3:19" x14ac:dyDescent="0.25">
      <c r="C1423" s="737">
        <v>41</v>
      </c>
      <c r="D1423" s="738" t="s">
        <v>74</v>
      </c>
      <c r="E1423" s="749"/>
      <c r="F1423" s="750"/>
      <c r="G1423" s="46" t="s">
        <v>13</v>
      </c>
      <c r="H1423" s="33">
        <v>46096</v>
      </c>
      <c r="I1423" s="747"/>
      <c r="J1423" s="742"/>
      <c r="K1423" s="743"/>
      <c r="L1423" s="743"/>
      <c r="M1423" s="744"/>
      <c r="N1423" s="745"/>
      <c r="O1423" s="745"/>
      <c r="P1423" s="44"/>
      <c r="Q1423" s="26"/>
      <c r="R1423" s="26"/>
      <c r="S1423" s="37"/>
    </row>
    <row r="1424" spans="3:19" x14ac:dyDescent="0.25">
      <c r="C1424" s="737">
        <v>41</v>
      </c>
      <c r="D1424" s="738" t="s">
        <v>74</v>
      </c>
      <c r="E1424" s="749"/>
      <c r="F1424" s="750"/>
      <c r="G1424" s="39" t="s">
        <v>14</v>
      </c>
      <c r="H1424" s="33">
        <v>46097</v>
      </c>
      <c r="I1424" s="747"/>
      <c r="J1424" s="742"/>
      <c r="K1424" s="743"/>
      <c r="L1424" s="743"/>
      <c r="M1424" s="744"/>
      <c r="N1424" s="745"/>
      <c r="O1424" s="745"/>
      <c r="P1424" s="746"/>
      <c r="Q1424" s="26"/>
      <c r="R1424" s="26"/>
      <c r="S1424" s="37"/>
    </row>
    <row r="1425" spans="3:19" x14ac:dyDescent="0.25">
      <c r="C1425" s="737">
        <v>41</v>
      </c>
      <c r="D1425" s="738" t="s">
        <v>74</v>
      </c>
      <c r="E1425" s="749"/>
      <c r="F1425" s="750"/>
      <c r="G1425" s="39" t="s">
        <v>15</v>
      </c>
      <c r="H1425" s="33">
        <v>46098</v>
      </c>
      <c r="I1425" s="747"/>
      <c r="J1425" s="742"/>
      <c r="K1425" s="743"/>
      <c r="L1425" s="743"/>
      <c r="M1425" s="744"/>
      <c r="N1425" s="745"/>
      <c r="O1425" s="745"/>
      <c r="P1425" s="746"/>
      <c r="Q1425" s="26"/>
      <c r="R1425" s="26"/>
      <c r="S1425" s="37"/>
    </row>
    <row r="1426" spans="3:19" x14ac:dyDescent="0.25">
      <c r="C1426" s="737">
        <v>41</v>
      </c>
      <c r="D1426" s="738" t="s">
        <v>74</v>
      </c>
      <c r="E1426" s="749"/>
      <c r="F1426" s="750"/>
      <c r="G1426" s="39" t="s">
        <v>16</v>
      </c>
      <c r="H1426" s="33">
        <v>46099</v>
      </c>
      <c r="I1426" s="747"/>
      <c r="J1426" s="742"/>
      <c r="K1426" s="743"/>
      <c r="L1426" s="743"/>
      <c r="M1426" s="744"/>
      <c r="N1426" s="745"/>
      <c r="O1426" s="745"/>
      <c r="P1426" s="746"/>
      <c r="Q1426" s="26"/>
      <c r="R1426" s="26"/>
      <c r="S1426" s="37"/>
    </row>
    <row r="1427" spans="3:19" x14ac:dyDescent="0.25">
      <c r="C1427" s="737">
        <v>41</v>
      </c>
      <c r="D1427" s="738" t="s">
        <v>74</v>
      </c>
      <c r="E1427" s="749"/>
      <c r="F1427" s="750"/>
      <c r="G1427" s="39" t="s">
        <v>17</v>
      </c>
      <c r="H1427" s="33">
        <v>46100</v>
      </c>
      <c r="I1427" s="747"/>
      <c r="J1427" s="742"/>
      <c r="K1427" s="743"/>
      <c r="L1427" s="743"/>
      <c r="M1427" s="744"/>
      <c r="N1427" s="745"/>
      <c r="O1427" s="745"/>
      <c r="P1427" s="746"/>
      <c r="Q1427" s="26"/>
      <c r="R1427" s="26"/>
      <c r="S1427" s="37"/>
    </row>
    <row r="1428" spans="3:19" x14ac:dyDescent="0.25">
      <c r="C1428" s="737">
        <v>41</v>
      </c>
      <c r="D1428" s="738" t="s">
        <v>74</v>
      </c>
      <c r="E1428" s="749"/>
      <c r="F1428" s="750"/>
      <c r="G1428" s="39" t="s">
        <v>18</v>
      </c>
      <c r="H1428" s="33">
        <v>46101</v>
      </c>
      <c r="I1428" s="747"/>
      <c r="J1428" s="742"/>
      <c r="K1428" s="743"/>
      <c r="L1428" s="743"/>
      <c r="M1428" s="744"/>
      <c r="N1428" s="745"/>
      <c r="O1428" s="745"/>
      <c r="P1428" s="746"/>
      <c r="Q1428" s="26"/>
      <c r="R1428" s="26"/>
      <c r="S1428" s="37"/>
    </row>
    <row r="1429" spans="3:19" x14ac:dyDescent="0.25">
      <c r="C1429" s="737">
        <v>41</v>
      </c>
      <c r="D1429" s="738" t="s">
        <v>74</v>
      </c>
      <c r="E1429" s="749"/>
      <c r="F1429" s="750"/>
      <c r="G1429" s="39" t="s">
        <v>19</v>
      </c>
      <c r="H1429" s="33">
        <v>46102</v>
      </c>
      <c r="I1429" s="747"/>
      <c r="J1429" s="742"/>
      <c r="K1429" s="743"/>
      <c r="L1429" s="743"/>
      <c r="M1429" s="744"/>
      <c r="N1429" s="745"/>
      <c r="O1429" s="745"/>
      <c r="P1429" s="746"/>
      <c r="Q1429" s="26"/>
      <c r="R1429" s="26"/>
      <c r="S1429" s="37"/>
    </row>
    <row r="1430" spans="3:19" x14ac:dyDescent="0.25">
      <c r="C1430" s="737">
        <v>41</v>
      </c>
      <c r="D1430" s="738" t="s">
        <v>74</v>
      </c>
      <c r="E1430" s="749"/>
      <c r="F1430" s="750"/>
      <c r="G1430" s="46" t="s">
        <v>13</v>
      </c>
      <c r="H1430" s="33">
        <v>46103</v>
      </c>
      <c r="I1430" s="747"/>
      <c r="J1430" s="742"/>
      <c r="K1430" s="743"/>
      <c r="L1430" s="743"/>
      <c r="M1430" s="744"/>
      <c r="N1430" s="745"/>
      <c r="O1430" s="745"/>
      <c r="P1430" s="746"/>
      <c r="Q1430" s="26"/>
      <c r="R1430" s="26"/>
      <c r="S1430" s="37"/>
    </row>
    <row r="1431" spans="3:19" x14ac:dyDescent="0.25">
      <c r="C1431" s="737">
        <v>41</v>
      </c>
      <c r="D1431" s="738" t="s">
        <v>74</v>
      </c>
      <c r="E1431" s="749"/>
      <c r="F1431" s="750"/>
      <c r="G1431" s="39" t="s">
        <v>14</v>
      </c>
      <c r="H1431" s="33">
        <v>46104</v>
      </c>
      <c r="I1431" s="747"/>
      <c r="J1431" s="742"/>
      <c r="K1431" s="743"/>
      <c r="L1431" s="743"/>
      <c r="M1431" s="744"/>
      <c r="N1431" s="745"/>
      <c r="O1431" s="745"/>
      <c r="P1431" s="746"/>
      <c r="Q1431" s="26"/>
      <c r="R1431" s="26"/>
      <c r="S1431" s="37"/>
    </row>
    <row r="1432" spans="3:19" x14ac:dyDescent="0.25">
      <c r="C1432" s="737">
        <v>41</v>
      </c>
      <c r="D1432" s="738" t="s">
        <v>74</v>
      </c>
      <c r="E1432" s="749"/>
      <c r="F1432" s="750"/>
      <c r="G1432" s="39" t="s">
        <v>15</v>
      </c>
      <c r="H1432" s="33">
        <v>46105</v>
      </c>
      <c r="I1432" s="747"/>
      <c r="J1432" s="742"/>
      <c r="K1432" s="743"/>
      <c r="L1432" s="743"/>
      <c r="M1432" s="744"/>
      <c r="N1432" s="745"/>
      <c r="O1432" s="745"/>
      <c r="P1432" s="746"/>
      <c r="Q1432" s="26"/>
      <c r="R1432" s="26"/>
      <c r="S1432" s="37"/>
    </row>
    <row r="1433" spans="3:19" x14ac:dyDescent="0.25">
      <c r="C1433" s="737">
        <v>41</v>
      </c>
      <c r="D1433" s="738" t="s">
        <v>74</v>
      </c>
      <c r="E1433" s="749"/>
      <c r="F1433" s="750"/>
      <c r="G1433" s="39" t="s">
        <v>16</v>
      </c>
      <c r="H1433" s="33">
        <v>46106</v>
      </c>
      <c r="I1433" s="747"/>
      <c r="J1433" s="742"/>
      <c r="K1433" s="743"/>
      <c r="L1433" s="743"/>
      <c r="M1433" s="744"/>
      <c r="N1433" s="745"/>
      <c r="O1433" s="745"/>
      <c r="P1433" s="746"/>
      <c r="Q1433" s="26"/>
      <c r="R1433" s="26"/>
      <c r="S1433" s="37"/>
    </row>
    <row r="1434" spans="3:19" x14ac:dyDescent="0.25">
      <c r="C1434" s="737">
        <v>41</v>
      </c>
      <c r="D1434" s="738" t="s">
        <v>74</v>
      </c>
      <c r="E1434" s="749"/>
      <c r="F1434" s="750"/>
      <c r="G1434" s="39" t="s">
        <v>17</v>
      </c>
      <c r="H1434" s="33">
        <v>46107</v>
      </c>
      <c r="I1434" s="747"/>
      <c r="J1434" s="742"/>
      <c r="K1434" s="743"/>
      <c r="L1434" s="743"/>
      <c r="M1434" s="744"/>
      <c r="N1434" s="745"/>
      <c r="O1434" s="745"/>
      <c r="P1434" s="746"/>
      <c r="Q1434" s="26"/>
      <c r="R1434" s="26"/>
      <c r="S1434" s="37"/>
    </row>
    <row r="1435" spans="3:19" x14ac:dyDescent="0.25">
      <c r="C1435" s="737">
        <v>41</v>
      </c>
      <c r="D1435" s="738" t="s">
        <v>74</v>
      </c>
      <c r="E1435" s="749"/>
      <c r="F1435" s="750"/>
      <c r="G1435" s="39" t="s">
        <v>18</v>
      </c>
      <c r="H1435" s="33">
        <v>46108</v>
      </c>
      <c r="I1435" s="747"/>
      <c r="J1435" s="742"/>
      <c r="K1435" s="743"/>
      <c r="L1435" s="743"/>
      <c r="M1435" s="744"/>
      <c r="N1435" s="745"/>
      <c r="O1435" s="745"/>
      <c r="P1435" s="746"/>
      <c r="Q1435" s="26"/>
      <c r="R1435" s="26"/>
      <c r="S1435" s="37"/>
    </row>
    <row r="1436" spans="3:19" x14ac:dyDescent="0.25">
      <c r="C1436" s="737">
        <v>41</v>
      </c>
      <c r="D1436" s="738" t="s">
        <v>74</v>
      </c>
      <c r="E1436" s="749"/>
      <c r="F1436" s="750"/>
      <c r="G1436" s="39" t="s">
        <v>19</v>
      </c>
      <c r="H1436" s="33">
        <v>46109</v>
      </c>
      <c r="I1436" s="747"/>
      <c r="J1436" s="742"/>
      <c r="K1436" s="743"/>
      <c r="L1436" s="743"/>
      <c r="M1436" s="744"/>
      <c r="N1436" s="745"/>
      <c r="O1436" s="745"/>
      <c r="P1436" s="746"/>
      <c r="Q1436" s="26"/>
      <c r="R1436" s="26"/>
      <c r="S1436" s="37"/>
    </row>
    <row r="1437" spans="3:19" x14ac:dyDescent="0.25">
      <c r="C1437" s="737">
        <v>41</v>
      </c>
      <c r="D1437" s="738" t="s">
        <v>74</v>
      </c>
      <c r="E1437" s="749"/>
      <c r="F1437" s="750"/>
      <c r="G1437" s="46" t="s">
        <v>13</v>
      </c>
      <c r="H1437" s="33">
        <v>46110</v>
      </c>
      <c r="I1437" s="747"/>
      <c r="J1437" s="742"/>
      <c r="K1437" s="743"/>
      <c r="L1437" s="743"/>
      <c r="M1437" s="744"/>
      <c r="N1437" s="745"/>
      <c r="O1437" s="745"/>
      <c r="P1437" s="746"/>
      <c r="Q1437" s="26"/>
      <c r="R1437" s="26"/>
      <c r="S1437" s="37"/>
    </row>
    <row r="1438" spans="3:19" x14ac:dyDescent="0.25">
      <c r="C1438" s="737">
        <v>41</v>
      </c>
      <c r="D1438" s="738" t="s">
        <v>74</v>
      </c>
      <c r="E1438" s="749"/>
      <c r="F1438" s="750"/>
      <c r="G1438" s="39" t="s">
        <v>14</v>
      </c>
      <c r="H1438" s="33">
        <v>46111</v>
      </c>
      <c r="I1438" s="747"/>
      <c r="J1438" s="742"/>
      <c r="K1438" s="743"/>
      <c r="L1438" s="743"/>
      <c r="M1438" s="744"/>
      <c r="N1438" s="745"/>
      <c r="O1438" s="745"/>
      <c r="P1438" s="746"/>
      <c r="Q1438" s="26"/>
      <c r="R1438" s="26"/>
      <c r="S1438" s="37"/>
    </row>
    <row r="1439" spans="3:19" x14ac:dyDescent="0.25">
      <c r="C1439" s="737">
        <v>41</v>
      </c>
      <c r="D1439" s="738" t="s">
        <v>74</v>
      </c>
      <c r="E1439" s="749"/>
      <c r="F1439" s="750"/>
      <c r="G1439" s="39" t="s">
        <v>15</v>
      </c>
      <c r="H1439" s="33">
        <v>46112</v>
      </c>
      <c r="I1439" s="747"/>
      <c r="J1439" s="742"/>
      <c r="K1439" s="743"/>
      <c r="L1439" s="743"/>
      <c r="M1439" s="744"/>
      <c r="N1439" s="745"/>
      <c r="O1439" s="745"/>
      <c r="P1439" s="746"/>
      <c r="Q1439" s="26"/>
      <c r="R1439" s="26"/>
      <c r="S1439" s="37"/>
    </row>
    <row r="1440" spans="3:19" x14ac:dyDescent="0.25">
      <c r="C1440" s="737"/>
      <c r="D1440" s="738"/>
      <c r="E1440" s="749"/>
      <c r="F1440" s="750"/>
      <c r="G1440" s="39"/>
      <c r="H1440" s="33"/>
      <c r="I1440" s="751"/>
      <c r="J1440" s="751"/>
      <c r="K1440" s="752"/>
      <c r="L1440" s="752"/>
      <c r="M1440" s="753"/>
      <c r="N1440" s="754"/>
      <c r="O1440" s="754"/>
      <c r="P1440" s="746"/>
      <c r="Q1440" s="26"/>
      <c r="R1440" s="26"/>
      <c r="S1440" s="37"/>
    </row>
    <row r="1441" spans="3:19" x14ac:dyDescent="0.25">
      <c r="C1441" s="755"/>
      <c r="D1441" s="756"/>
      <c r="E1441" s="757"/>
      <c r="F1441" s="757"/>
      <c r="G1441" s="758"/>
      <c r="H1441" s="759"/>
      <c r="I1441" s="760" t="str">
        <f>D1412</f>
        <v>HENDI IRAWAN</v>
      </c>
      <c r="J1441" s="761" t="s">
        <v>20</v>
      </c>
      <c r="K1441" s="762"/>
      <c r="L1441" s="762"/>
      <c r="M1441" s="763">
        <f>SUM(M1409:M1440)</f>
        <v>0</v>
      </c>
      <c r="N1441" s="763">
        <f t="shared" ref="N1441:O1441" si="35">SUM(N1409:N1440)</f>
        <v>0</v>
      </c>
      <c r="O1441" s="763">
        <f t="shared" si="35"/>
        <v>0</v>
      </c>
      <c r="P1441" s="764"/>
      <c r="Q1441" s="26"/>
      <c r="R1441" s="26"/>
      <c r="S1441" s="37"/>
    </row>
    <row r="1442" spans="3:19" x14ac:dyDescent="0.2">
      <c r="C1442" s="765"/>
      <c r="D1442" s="766"/>
      <c r="E1442" s="767"/>
      <c r="F1442" s="767"/>
      <c r="G1442" s="768"/>
      <c r="H1442" s="769"/>
      <c r="I1442" s="770"/>
      <c r="J1442" s="770"/>
      <c r="K1442" s="769"/>
      <c r="L1442" s="769"/>
      <c r="M1442" s="769"/>
      <c r="N1442" s="771"/>
      <c r="O1442" s="771"/>
      <c r="P1442" s="772"/>
      <c r="Q1442" s="26"/>
      <c r="R1442" s="26"/>
      <c r="S1442" s="37"/>
    </row>
    <row r="1443" spans="3:19" x14ac:dyDescent="0.2">
      <c r="C1443" s="58"/>
      <c r="D1443" s="59"/>
      <c r="E1443" s="60"/>
      <c r="F1443" s="60"/>
      <c r="G1443" s="61"/>
      <c r="H1443" s="62"/>
      <c r="I1443" s="63"/>
      <c r="J1443" s="63"/>
      <c r="K1443" s="62"/>
      <c r="L1443" s="62"/>
      <c r="M1443" s="62"/>
      <c r="N1443" s="64"/>
      <c r="O1443" s="64"/>
      <c r="P1443" s="65"/>
      <c r="Q1443" s="26"/>
      <c r="R1443" s="26"/>
      <c r="S1443" s="37"/>
    </row>
    <row r="1444" spans="3:19" x14ac:dyDescent="0.2">
      <c r="C1444" s="365" t="s">
        <v>1</v>
      </c>
      <c r="D1444" s="668" t="s">
        <v>2</v>
      </c>
      <c r="E1444" s="669" t="s">
        <v>3</v>
      </c>
      <c r="F1444" s="669" t="s">
        <v>4</v>
      </c>
      <c r="G1444" s="670" t="s">
        <v>5</v>
      </c>
      <c r="H1444" s="669" t="s">
        <v>6</v>
      </c>
      <c r="I1444" s="671" t="s">
        <v>7</v>
      </c>
      <c r="J1444" s="671" t="s">
        <v>8</v>
      </c>
      <c r="K1444" s="672"/>
      <c r="L1444" s="673"/>
      <c r="M1444" s="673" t="s">
        <v>9</v>
      </c>
      <c r="N1444" s="674" t="s">
        <v>10</v>
      </c>
      <c r="O1444" s="674" t="s">
        <v>11</v>
      </c>
      <c r="P1444" s="675"/>
      <c r="Q1444" s="26"/>
      <c r="R1444" s="26"/>
      <c r="S1444" s="37"/>
    </row>
    <row r="1445" spans="3:19" x14ac:dyDescent="0.25">
      <c r="C1445" s="773">
        <v>42</v>
      </c>
      <c r="D1445" s="774" t="s">
        <v>75</v>
      </c>
      <c r="E1445" s="775" t="s">
        <v>22</v>
      </c>
      <c r="F1445" s="776" t="s">
        <v>22</v>
      </c>
      <c r="G1445" s="32" t="s">
        <v>13</v>
      </c>
      <c r="H1445" s="33">
        <v>46082</v>
      </c>
      <c r="I1445" s="777"/>
      <c r="J1445" s="778"/>
      <c r="K1445" s="779"/>
      <c r="L1445" s="779"/>
      <c r="M1445" s="780"/>
      <c r="N1445" s="781"/>
      <c r="O1445" s="781"/>
      <c r="P1445" s="782"/>
      <c r="Q1445" s="26"/>
      <c r="R1445" s="26"/>
      <c r="S1445" s="37"/>
    </row>
    <row r="1446" spans="3:19" x14ac:dyDescent="0.25">
      <c r="C1446" s="773">
        <v>42</v>
      </c>
      <c r="D1446" s="774" t="s">
        <v>75</v>
      </c>
      <c r="E1446" s="775" t="s">
        <v>22</v>
      </c>
      <c r="F1446" s="776" t="s">
        <v>22</v>
      </c>
      <c r="G1446" s="29" t="s">
        <v>14</v>
      </c>
      <c r="H1446" s="33">
        <v>46083</v>
      </c>
      <c r="I1446" s="783">
        <v>0.33253472222222219</v>
      </c>
      <c r="J1446" s="778"/>
      <c r="K1446" s="779"/>
      <c r="L1446" s="779"/>
      <c r="M1446" s="780"/>
      <c r="N1446" s="781"/>
      <c r="O1446" s="781"/>
      <c r="P1446" s="782"/>
      <c r="Q1446" s="26"/>
      <c r="R1446" s="26"/>
      <c r="S1446" s="37"/>
    </row>
    <row r="1447" spans="3:19" x14ac:dyDescent="0.25">
      <c r="C1447" s="773">
        <v>42</v>
      </c>
      <c r="D1447" s="774" t="s">
        <v>75</v>
      </c>
      <c r="E1447" s="775" t="s">
        <v>22</v>
      </c>
      <c r="F1447" s="776" t="s">
        <v>22</v>
      </c>
      <c r="G1447" s="39" t="s">
        <v>15</v>
      </c>
      <c r="H1447" s="33">
        <v>46084</v>
      </c>
      <c r="I1447" s="784">
        <v>0.33094907407407409</v>
      </c>
      <c r="J1447" s="778">
        <v>0.75255787037037036</v>
      </c>
      <c r="K1447" s="779"/>
      <c r="L1447" s="779"/>
      <c r="M1447" s="780">
        <v>1</v>
      </c>
      <c r="N1447" s="781"/>
      <c r="O1447" s="781"/>
      <c r="P1447" s="782"/>
      <c r="Q1447" s="26"/>
      <c r="R1447" s="26"/>
      <c r="S1447" s="37"/>
    </row>
    <row r="1448" spans="3:19" x14ac:dyDescent="0.25">
      <c r="C1448" s="773">
        <v>42</v>
      </c>
      <c r="D1448" s="774" t="s">
        <v>75</v>
      </c>
      <c r="E1448" s="775" t="s">
        <v>22</v>
      </c>
      <c r="F1448" s="776" t="s">
        <v>22</v>
      </c>
      <c r="G1448" s="39" t="s">
        <v>16</v>
      </c>
      <c r="H1448" s="33">
        <v>46085</v>
      </c>
      <c r="I1448" s="784">
        <v>0.33363425925925921</v>
      </c>
      <c r="J1448" s="778"/>
      <c r="K1448" s="779"/>
      <c r="L1448" s="779"/>
      <c r="M1448" s="780"/>
      <c r="N1448" s="781"/>
      <c r="O1448" s="781"/>
      <c r="P1448" s="782"/>
      <c r="Q1448" s="26"/>
      <c r="R1448" s="26"/>
      <c r="S1448" s="37"/>
    </row>
    <row r="1449" spans="3:19" x14ac:dyDescent="0.25">
      <c r="C1449" s="773">
        <v>42</v>
      </c>
      <c r="D1449" s="774" t="s">
        <v>75</v>
      </c>
      <c r="E1449" s="785" t="s">
        <v>22</v>
      </c>
      <c r="F1449" s="786"/>
      <c r="G1449" s="39" t="s">
        <v>17</v>
      </c>
      <c r="H1449" s="33">
        <v>46086</v>
      </c>
      <c r="I1449" s="784">
        <v>0.33104166666666668</v>
      </c>
      <c r="J1449" s="778">
        <v>0.85450231481481476</v>
      </c>
      <c r="K1449" s="779"/>
      <c r="L1449" s="779"/>
      <c r="M1449" s="780">
        <v>3</v>
      </c>
      <c r="N1449" s="781"/>
      <c r="O1449" s="781"/>
      <c r="P1449" s="782"/>
      <c r="Q1449" s="26"/>
      <c r="R1449" s="26"/>
      <c r="S1449" s="37"/>
    </row>
    <row r="1450" spans="3:19" x14ac:dyDescent="0.25">
      <c r="C1450" s="773">
        <v>42</v>
      </c>
      <c r="D1450" s="774" t="s">
        <v>75</v>
      </c>
      <c r="E1450" s="785" t="s">
        <v>22</v>
      </c>
      <c r="F1450" s="786" t="s">
        <v>22</v>
      </c>
      <c r="G1450" s="45" t="s">
        <v>18</v>
      </c>
      <c r="H1450" s="33">
        <v>46087</v>
      </c>
      <c r="I1450" s="784">
        <v>0.33163194444444444</v>
      </c>
      <c r="J1450" s="778">
        <v>0.80951388888888898</v>
      </c>
      <c r="K1450" s="779"/>
      <c r="L1450" s="779"/>
      <c r="M1450" s="780">
        <v>2</v>
      </c>
      <c r="N1450" s="781"/>
      <c r="O1450" s="781"/>
      <c r="P1450" s="782"/>
      <c r="Q1450" s="26"/>
      <c r="R1450" s="26"/>
      <c r="S1450" s="37"/>
    </row>
    <row r="1451" spans="3:19" x14ac:dyDescent="0.25">
      <c r="C1451" s="773">
        <v>42</v>
      </c>
      <c r="D1451" s="774" t="s">
        <v>75</v>
      </c>
      <c r="E1451" s="785" t="s">
        <v>22</v>
      </c>
      <c r="F1451" s="786" t="s">
        <v>22</v>
      </c>
      <c r="G1451" s="39" t="s">
        <v>19</v>
      </c>
      <c r="H1451" s="33">
        <v>46088</v>
      </c>
      <c r="I1451" s="784">
        <v>0.32722222222222225</v>
      </c>
      <c r="J1451" s="778">
        <v>0.64608796296296289</v>
      </c>
      <c r="K1451" s="779"/>
      <c r="L1451" s="779"/>
      <c r="M1451" s="780">
        <v>3</v>
      </c>
      <c r="N1451" s="781"/>
      <c r="O1451" s="781"/>
      <c r="P1451" s="782"/>
      <c r="Q1451" s="26"/>
      <c r="R1451" s="26"/>
      <c r="S1451" s="37"/>
    </row>
    <row r="1452" spans="3:19" x14ac:dyDescent="0.25">
      <c r="C1452" s="773">
        <v>42</v>
      </c>
      <c r="D1452" s="774" t="s">
        <v>75</v>
      </c>
      <c r="E1452" s="785" t="s">
        <v>22</v>
      </c>
      <c r="F1452" s="786" t="s">
        <v>22</v>
      </c>
      <c r="G1452" s="46" t="s">
        <v>13</v>
      </c>
      <c r="H1452" s="33">
        <v>46089</v>
      </c>
      <c r="I1452" s="777">
        <v>0.33158564814814812</v>
      </c>
      <c r="J1452" s="5">
        <v>0.67140046296296296</v>
      </c>
      <c r="K1452" s="779"/>
      <c r="L1452" s="779"/>
      <c r="M1452" s="780"/>
      <c r="N1452" s="781"/>
      <c r="O1452" s="781">
        <v>1</v>
      </c>
      <c r="P1452" s="782"/>
      <c r="Q1452" s="26"/>
      <c r="R1452" s="26"/>
      <c r="S1452" s="37"/>
    </row>
    <row r="1453" spans="3:19" x14ac:dyDescent="0.25">
      <c r="C1453" s="773">
        <v>42</v>
      </c>
      <c r="D1453" s="774" t="s">
        <v>75</v>
      </c>
      <c r="E1453" s="785" t="s">
        <v>22</v>
      </c>
      <c r="F1453" s="786" t="s">
        <v>22</v>
      </c>
      <c r="G1453" s="39" t="s">
        <v>14</v>
      </c>
      <c r="H1453" s="33">
        <v>46090</v>
      </c>
      <c r="I1453" s="5">
        <v>0.33104166666666668</v>
      </c>
      <c r="J1453" s="784">
        <v>0.76350694444444445</v>
      </c>
      <c r="K1453" s="779"/>
      <c r="L1453" s="779"/>
      <c r="M1453" s="780">
        <v>1</v>
      </c>
      <c r="N1453" s="781"/>
      <c r="O1453" s="781"/>
      <c r="P1453" s="782"/>
      <c r="Q1453" s="26"/>
      <c r="R1453" s="26"/>
      <c r="S1453" s="37"/>
    </row>
    <row r="1454" spans="3:19" x14ac:dyDescent="0.25">
      <c r="C1454" s="773">
        <v>42</v>
      </c>
      <c r="D1454" s="774" t="s">
        <v>75</v>
      </c>
      <c r="E1454" s="785" t="s">
        <v>22</v>
      </c>
      <c r="F1454" s="786" t="s">
        <v>22</v>
      </c>
      <c r="G1454" s="39" t="s">
        <v>15</v>
      </c>
      <c r="H1454" s="33">
        <v>46091</v>
      </c>
      <c r="I1454" s="783">
        <v>0.3197800925925926</v>
      </c>
      <c r="J1454" s="778">
        <v>0.80511574074074066</v>
      </c>
      <c r="K1454" s="779"/>
      <c r="L1454" s="779"/>
      <c r="M1454" s="780">
        <v>2</v>
      </c>
      <c r="N1454" s="781"/>
      <c r="O1454" s="781"/>
      <c r="P1454" s="782"/>
      <c r="Q1454" s="26"/>
      <c r="R1454" s="26"/>
      <c r="S1454" s="37"/>
    </row>
    <row r="1455" spans="3:19" x14ac:dyDescent="0.25">
      <c r="C1455" s="773">
        <v>42</v>
      </c>
      <c r="D1455" s="774" t="s">
        <v>75</v>
      </c>
      <c r="E1455" s="785" t="s">
        <v>22</v>
      </c>
      <c r="F1455" s="786" t="s">
        <v>22</v>
      </c>
      <c r="G1455" s="39" t="s">
        <v>16</v>
      </c>
      <c r="H1455" s="33">
        <v>46092</v>
      </c>
      <c r="I1455" s="783">
        <v>0.32936342592592593</v>
      </c>
      <c r="J1455" s="778">
        <v>0.92663194444444441</v>
      </c>
      <c r="K1455" s="779"/>
      <c r="L1455" s="779"/>
      <c r="M1455" s="780">
        <v>3</v>
      </c>
      <c r="N1455" s="781">
        <v>2</v>
      </c>
      <c r="O1455" s="781"/>
      <c r="P1455" s="782"/>
      <c r="Q1455" s="26"/>
      <c r="R1455" s="26"/>
      <c r="S1455" s="37"/>
    </row>
    <row r="1456" spans="3:19" x14ac:dyDescent="0.25">
      <c r="C1456" s="773">
        <v>42</v>
      </c>
      <c r="D1456" s="774" t="s">
        <v>75</v>
      </c>
      <c r="E1456" s="775" t="s">
        <v>22</v>
      </c>
      <c r="F1456" s="776" t="s">
        <v>22</v>
      </c>
      <c r="G1456" s="39" t="s">
        <v>17</v>
      </c>
      <c r="H1456" s="33">
        <v>46093</v>
      </c>
      <c r="I1456" s="783">
        <v>0.33076388888888891</v>
      </c>
      <c r="J1456" s="778">
        <v>0.84556712962962965</v>
      </c>
      <c r="K1456" s="779"/>
      <c r="L1456" s="779"/>
      <c r="M1456" s="780">
        <v>2</v>
      </c>
      <c r="N1456" s="781"/>
      <c r="O1456" s="781"/>
      <c r="P1456" s="782"/>
      <c r="Q1456" s="26"/>
      <c r="R1456" s="26"/>
      <c r="S1456" s="37"/>
    </row>
    <row r="1457" spans="3:19" x14ac:dyDescent="0.25">
      <c r="C1457" s="773">
        <v>42</v>
      </c>
      <c r="D1457" s="774" t="s">
        <v>75</v>
      </c>
      <c r="E1457" s="785" t="s">
        <v>22</v>
      </c>
      <c r="F1457" s="786" t="s">
        <v>22</v>
      </c>
      <c r="G1457" s="48" t="s">
        <v>18</v>
      </c>
      <c r="H1457" s="33">
        <v>46094</v>
      </c>
      <c r="I1457" s="783">
        <v>0.33240740740740743</v>
      </c>
      <c r="J1457" s="778">
        <v>0.80934027777777784</v>
      </c>
      <c r="K1457" s="779"/>
      <c r="L1457" s="779"/>
      <c r="M1457" s="780">
        <v>2</v>
      </c>
      <c r="N1457" s="781"/>
      <c r="O1457" s="781"/>
      <c r="P1457" s="782"/>
      <c r="Q1457" s="26"/>
      <c r="R1457" s="26"/>
      <c r="S1457" s="37"/>
    </row>
    <row r="1458" spans="3:19" x14ac:dyDescent="0.25">
      <c r="C1458" s="773">
        <v>42</v>
      </c>
      <c r="D1458" s="774" t="s">
        <v>75</v>
      </c>
      <c r="E1458" s="785"/>
      <c r="F1458" s="786"/>
      <c r="G1458" s="39" t="s">
        <v>19</v>
      </c>
      <c r="H1458" s="33">
        <v>46095</v>
      </c>
      <c r="I1458" s="783">
        <v>0.32962962962962966</v>
      </c>
      <c r="J1458" s="778"/>
      <c r="K1458" s="779"/>
      <c r="L1458" s="779"/>
      <c r="M1458" s="780"/>
      <c r="N1458" s="781"/>
      <c r="O1458" s="781"/>
      <c r="P1458" s="782"/>
      <c r="Q1458" s="26"/>
      <c r="R1458" s="26"/>
      <c r="S1458" s="37"/>
    </row>
    <row r="1459" spans="3:19" x14ac:dyDescent="0.25">
      <c r="C1459" s="773">
        <v>42</v>
      </c>
      <c r="D1459" s="774" t="s">
        <v>75</v>
      </c>
      <c r="E1459" s="785"/>
      <c r="F1459" s="786"/>
      <c r="G1459" s="46" t="s">
        <v>13</v>
      </c>
      <c r="H1459" s="33">
        <v>46096</v>
      </c>
      <c r="I1459" s="783"/>
      <c r="J1459" s="778"/>
      <c r="K1459" s="779"/>
      <c r="L1459" s="779"/>
      <c r="M1459" s="780"/>
      <c r="N1459" s="781"/>
      <c r="O1459" s="781"/>
      <c r="P1459" s="44"/>
      <c r="Q1459" s="26"/>
      <c r="R1459" s="26"/>
      <c r="S1459" s="37"/>
    </row>
    <row r="1460" spans="3:19" x14ac:dyDescent="0.25">
      <c r="C1460" s="773">
        <v>42</v>
      </c>
      <c r="D1460" s="774" t="s">
        <v>75</v>
      </c>
      <c r="E1460" s="785"/>
      <c r="F1460" s="786"/>
      <c r="G1460" s="39" t="s">
        <v>14</v>
      </c>
      <c r="H1460" s="33">
        <v>46097</v>
      </c>
      <c r="I1460" s="783"/>
      <c r="J1460" s="778"/>
      <c r="K1460" s="779"/>
      <c r="L1460" s="779"/>
      <c r="M1460" s="780"/>
      <c r="N1460" s="781"/>
      <c r="O1460" s="781"/>
      <c r="P1460" s="782"/>
      <c r="Q1460" s="26"/>
      <c r="R1460" s="26"/>
      <c r="S1460" s="37"/>
    </row>
    <row r="1461" spans="3:19" x14ac:dyDescent="0.25">
      <c r="C1461" s="773">
        <v>42</v>
      </c>
      <c r="D1461" s="774" t="s">
        <v>75</v>
      </c>
      <c r="E1461" s="785"/>
      <c r="F1461" s="786"/>
      <c r="G1461" s="39" t="s">
        <v>15</v>
      </c>
      <c r="H1461" s="33">
        <v>46098</v>
      </c>
      <c r="I1461" s="783"/>
      <c r="J1461" s="778"/>
      <c r="K1461" s="779"/>
      <c r="L1461" s="779"/>
      <c r="M1461" s="780"/>
      <c r="N1461" s="781"/>
      <c r="O1461" s="781"/>
      <c r="P1461" s="782"/>
      <c r="Q1461" s="26"/>
      <c r="R1461" s="26"/>
      <c r="S1461" s="37"/>
    </row>
    <row r="1462" spans="3:19" x14ac:dyDescent="0.25">
      <c r="C1462" s="773">
        <v>42</v>
      </c>
      <c r="D1462" s="774" t="s">
        <v>75</v>
      </c>
      <c r="E1462" s="785"/>
      <c r="F1462" s="786"/>
      <c r="G1462" s="39" t="s">
        <v>16</v>
      </c>
      <c r="H1462" s="33">
        <v>46099</v>
      </c>
      <c r="I1462" s="783"/>
      <c r="J1462" s="778"/>
      <c r="K1462" s="779"/>
      <c r="L1462" s="779"/>
      <c r="M1462" s="780"/>
      <c r="N1462" s="781"/>
      <c r="O1462" s="781"/>
      <c r="P1462" s="782"/>
      <c r="Q1462" s="26"/>
      <c r="R1462" s="26"/>
      <c r="S1462" s="37"/>
    </row>
    <row r="1463" spans="3:19" x14ac:dyDescent="0.25">
      <c r="C1463" s="773">
        <v>42</v>
      </c>
      <c r="D1463" s="774" t="s">
        <v>75</v>
      </c>
      <c r="E1463" s="785"/>
      <c r="F1463" s="786"/>
      <c r="G1463" s="39" t="s">
        <v>17</v>
      </c>
      <c r="H1463" s="33">
        <v>46100</v>
      </c>
      <c r="I1463" s="783"/>
      <c r="J1463" s="778"/>
      <c r="K1463" s="779"/>
      <c r="L1463" s="779"/>
      <c r="M1463" s="780"/>
      <c r="N1463" s="781"/>
      <c r="O1463" s="781"/>
      <c r="P1463" s="782"/>
      <c r="Q1463" s="26"/>
      <c r="R1463" s="26"/>
      <c r="S1463" s="37"/>
    </row>
    <row r="1464" spans="3:19" x14ac:dyDescent="0.25">
      <c r="C1464" s="773">
        <v>42</v>
      </c>
      <c r="D1464" s="774" t="s">
        <v>75</v>
      </c>
      <c r="E1464" s="785"/>
      <c r="F1464" s="786"/>
      <c r="G1464" s="39" t="s">
        <v>18</v>
      </c>
      <c r="H1464" s="33">
        <v>46101</v>
      </c>
      <c r="I1464" s="783"/>
      <c r="J1464" s="778"/>
      <c r="K1464" s="779"/>
      <c r="L1464" s="779"/>
      <c r="M1464" s="780"/>
      <c r="N1464" s="781"/>
      <c r="O1464" s="781"/>
      <c r="P1464" s="782"/>
      <c r="Q1464" s="26"/>
      <c r="R1464" s="26"/>
      <c r="S1464" s="37"/>
    </row>
    <row r="1465" spans="3:19" x14ac:dyDescent="0.25">
      <c r="C1465" s="773">
        <v>42</v>
      </c>
      <c r="D1465" s="774" t="s">
        <v>75</v>
      </c>
      <c r="E1465" s="785"/>
      <c r="F1465" s="786"/>
      <c r="G1465" s="39" t="s">
        <v>19</v>
      </c>
      <c r="H1465" s="33">
        <v>46102</v>
      </c>
      <c r="I1465" s="783"/>
      <c r="J1465" s="778"/>
      <c r="K1465" s="779"/>
      <c r="L1465" s="779"/>
      <c r="M1465" s="780"/>
      <c r="N1465" s="781"/>
      <c r="O1465" s="781"/>
      <c r="P1465" s="782"/>
      <c r="Q1465" s="26"/>
      <c r="R1465" s="26"/>
      <c r="S1465" s="37"/>
    </row>
    <row r="1466" spans="3:19" x14ac:dyDescent="0.25">
      <c r="C1466" s="773">
        <v>42</v>
      </c>
      <c r="D1466" s="774" t="s">
        <v>75</v>
      </c>
      <c r="E1466" s="785"/>
      <c r="F1466" s="786"/>
      <c r="G1466" s="46" t="s">
        <v>13</v>
      </c>
      <c r="H1466" s="33">
        <v>46103</v>
      </c>
      <c r="I1466" s="783"/>
      <c r="J1466" s="778"/>
      <c r="K1466" s="779"/>
      <c r="L1466" s="779"/>
      <c r="M1466" s="780"/>
      <c r="N1466" s="781"/>
      <c r="O1466" s="781"/>
      <c r="P1466" s="782"/>
      <c r="Q1466" s="26"/>
      <c r="R1466" s="26"/>
      <c r="S1466" s="37"/>
    </row>
    <row r="1467" spans="3:19" x14ac:dyDescent="0.25">
      <c r="C1467" s="773">
        <v>42</v>
      </c>
      <c r="D1467" s="774" t="s">
        <v>75</v>
      </c>
      <c r="E1467" s="785"/>
      <c r="F1467" s="786"/>
      <c r="G1467" s="39" t="s">
        <v>14</v>
      </c>
      <c r="H1467" s="33">
        <v>46104</v>
      </c>
      <c r="I1467" s="783"/>
      <c r="J1467" s="778"/>
      <c r="K1467" s="779"/>
      <c r="L1467" s="779"/>
      <c r="M1467" s="780"/>
      <c r="N1467" s="781"/>
      <c r="O1467" s="781"/>
      <c r="P1467" s="782"/>
      <c r="Q1467" s="26"/>
      <c r="R1467" s="26"/>
      <c r="S1467" s="37"/>
    </row>
    <row r="1468" spans="3:19" x14ac:dyDescent="0.25">
      <c r="C1468" s="773">
        <v>42</v>
      </c>
      <c r="D1468" s="774" t="s">
        <v>75</v>
      </c>
      <c r="E1468" s="785"/>
      <c r="F1468" s="786"/>
      <c r="G1468" s="39" t="s">
        <v>15</v>
      </c>
      <c r="H1468" s="33">
        <v>46105</v>
      </c>
      <c r="I1468" s="783"/>
      <c r="J1468" s="778"/>
      <c r="K1468" s="779"/>
      <c r="L1468" s="779"/>
      <c r="M1468" s="780"/>
      <c r="N1468" s="781"/>
      <c r="O1468" s="781"/>
      <c r="P1468" s="782"/>
      <c r="Q1468" s="26"/>
      <c r="R1468" s="26"/>
      <c r="S1468" s="37"/>
    </row>
    <row r="1469" spans="3:19" x14ac:dyDescent="0.25">
      <c r="C1469" s="773">
        <v>42</v>
      </c>
      <c r="D1469" s="774" t="s">
        <v>75</v>
      </c>
      <c r="E1469" s="785"/>
      <c r="F1469" s="786"/>
      <c r="G1469" s="39" t="s">
        <v>16</v>
      </c>
      <c r="H1469" s="33">
        <v>46106</v>
      </c>
      <c r="I1469" s="783"/>
      <c r="J1469" s="778"/>
      <c r="K1469" s="779"/>
      <c r="L1469" s="779"/>
      <c r="M1469" s="780"/>
      <c r="N1469" s="781"/>
      <c r="O1469" s="781"/>
      <c r="P1469" s="782"/>
      <c r="Q1469" s="26"/>
      <c r="R1469" s="26"/>
      <c r="S1469" s="37"/>
    </row>
    <row r="1470" spans="3:19" x14ac:dyDescent="0.25">
      <c r="C1470" s="773">
        <v>42</v>
      </c>
      <c r="D1470" s="774" t="s">
        <v>75</v>
      </c>
      <c r="E1470" s="785"/>
      <c r="F1470" s="786"/>
      <c r="G1470" s="39" t="s">
        <v>17</v>
      </c>
      <c r="H1470" s="33">
        <v>46107</v>
      </c>
      <c r="I1470" s="783"/>
      <c r="J1470" s="778"/>
      <c r="K1470" s="779"/>
      <c r="L1470" s="779"/>
      <c r="M1470" s="780"/>
      <c r="N1470" s="781"/>
      <c r="O1470" s="781"/>
      <c r="P1470" s="782"/>
      <c r="Q1470" s="26"/>
      <c r="R1470" s="26"/>
      <c r="S1470" s="37"/>
    </row>
    <row r="1471" spans="3:19" x14ac:dyDescent="0.25">
      <c r="C1471" s="773">
        <v>42</v>
      </c>
      <c r="D1471" s="774" t="s">
        <v>75</v>
      </c>
      <c r="E1471" s="785"/>
      <c r="F1471" s="786"/>
      <c r="G1471" s="39" t="s">
        <v>18</v>
      </c>
      <c r="H1471" s="33">
        <v>46108</v>
      </c>
      <c r="I1471" s="783"/>
      <c r="J1471" s="778"/>
      <c r="K1471" s="779"/>
      <c r="L1471" s="779"/>
      <c r="M1471" s="780"/>
      <c r="N1471" s="781"/>
      <c r="O1471" s="781"/>
      <c r="P1471" s="782"/>
      <c r="Q1471" s="26"/>
      <c r="R1471" s="26"/>
      <c r="S1471" s="37"/>
    </row>
    <row r="1472" spans="3:19" x14ac:dyDescent="0.25">
      <c r="C1472" s="773">
        <v>42</v>
      </c>
      <c r="D1472" s="774" t="s">
        <v>75</v>
      </c>
      <c r="E1472" s="785"/>
      <c r="F1472" s="786"/>
      <c r="G1472" s="39" t="s">
        <v>19</v>
      </c>
      <c r="H1472" s="33">
        <v>46109</v>
      </c>
      <c r="I1472" s="783"/>
      <c r="J1472" s="778"/>
      <c r="K1472" s="779"/>
      <c r="L1472" s="779"/>
      <c r="M1472" s="780"/>
      <c r="N1472" s="781"/>
      <c r="O1472" s="781"/>
      <c r="P1472" s="782"/>
      <c r="Q1472" s="26"/>
      <c r="R1472" s="26"/>
      <c r="S1472" s="37"/>
    </row>
    <row r="1473" spans="3:19" x14ac:dyDescent="0.25">
      <c r="C1473" s="773">
        <v>42</v>
      </c>
      <c r="D1473" s="774" t="s">
        <v>75</v>
      </c>
      <c r="E1473" s="785"/>
      <c r="F1473" s="786"/>
      <c r="G1473" s="46" t="s">
        <v>13</v>
      </c>
      <c r="H1473" s="33">
        <v>46110</v>
      </c>
      <c r="I1473" s="783"/>
      <c r="J1473" s="778"/>
      <c r="K1473" s="779"/>
      <c r="L1473" s="779"/>
      <c r="M1473" s="780"/>
      <c r="N1473" s="781"/>
      <c r="O1473" s="781"/>
      <c r="P1473" s="782"/>
      <c r="Q1473" s="26"/>
      <c r="R1473" s="26"/>
      <c r="S1473" s="37"/>
    </row>
    <row r="1474" spans="3:19" x14ac:dyDescent="0.25">
      <c r="C1474" s="773">
        <v>42</v>
      </c>
      <c r="D1474" s="774" t="s">
        <v>75</v>
      </c>
      <c r="E1474" s="785"/>
      <c r="F1474" s="786"/>
      <c r="G1474" s="39" t="s">
        <v>14</v>
      </c>
      <c r="H1474" s="33">
        <v>46111</v>
      </c>
      <c r="I1474" s="783"/>
      <c r="J1474" s="778"/>
      <c r="K1474" s="779"/>
      <c r="L1474" s="779"/>
      <c r="M1474" s="780"/>
      <c r="N1474" s="781"/>
      <c r="O1474" s="781"/>
      <c r="P1474" s="782"/>
      <c r="Q1474" s="26"/>
      <c r="R1474" s="26"/>
      <c r="S1474" s="37"/>
    </row>
    <row r="1475" spans="3:19" x14ac:dyDescent="0.25">
      <c r="C1475" s="773">
        <v>42</v>
      </c>
      <c r="D1475" s="774" t="s">
        <v>75</v>
      </c>
      <c r="E1475" s="785"/>
      <c r="F1475" s="786"/>
      <c r="G1475" s="39" t="s">
        <v>15</v>
      </c>
      <c r="H1475" s="33">
        <v>46112</v>
      </c>
      <c r="I1475" s="783"/>
      <c r="J1475" s="778"/>
      <c r="K1475" s="779"/>
      <c r="L1475" s="779"/>
      <c r="M1475" s="780"/>
      <c r="N1475" s="781"/>
      <c r="O1475" s="781"/>
      <c r="P1475" s="782"/>
      <c r="Q1475" s="26"/>
      <c r="R1475" s="26"/>
      <c r="S1475" s="37"/>
    </row>
    <row r="1476" spans="3:19" x14ac:dyDescent="0.25">
      <c r="C1476" s="773"/>
      <c r="D1476" s="774"/>
      <c r="E1476" s="785"/>
      <c r="F1476" s="786"/>
      <c r="G1476" s="39"/>
      <c r="H1476" s="33"/>
      <c r="I1476" s="778"/>
      <c r="J1476" s="778"/>
      <c r="K1476" s="787"/>
      <c r="L1476" s="787"/>
      <c r="M1476" s="788"/>
      <c r="N1476" s="789"/>
      <c r="O1476" s="789"/>
      <c r="P1476" s="782"/>
      <c r="Q1476" s="26"/>
      <c r="R1476" s="26"/>
      <c r="S1476" s="37"/>
    </row>
    <row r="1477" spans="3:19" x14ac:dyDescent="0.25">
      <c r="C1477" s="773"/>
      <c r="D1477" s="774"/>
      <c r="E1477" s="785"/>
      <c r="F1477" s="786"/>
      <c r="G1477" s="39"/>
      <c r="H1477" s="33"/>
      <c r="I1477" s="790"/>
      <c r="J1477" s="778"/>
      <c r="K1477" s="787"/>
      <c r="L1477" s="787"/>
      <c r="M1477" s="788"/>
      <c r="N1477" s="789"/>
      <c r="O1477" s="789"/>
      <c r="P1477" s="782"/>
      <c r="Q1477" s="26"/>
      <c r="R1477" s="26"/>
      <c r="S1477" s="37"/>
    </row>
    <row r="1478" spans="3:19" x14ac:dyDescent="0.25">
      <c r="C1478" s="791"/>
      <c r="D1478" s="792"/>
      <c r="E1478" s="793"/>
      <c r="F1478" s="793"/>
      <c r="G1478" s="794"/>
      <c r="H1478" s="795"/>
      <c r="I1478" s="796" t="str">
        <f>D1448</f>
        <v>FAROYI</v>
      </c>
      <c r="J1478" s="797" t="s">
        <v>20</v>
      </c>
      <c r="K1478" s="798"/>
      <c r="L1478" s="798"/>
      <c r="M1478" s="799">
        <f>SUM(M1445:M1477)</f>
        <v>19</v>
      </c>
      <c r="N1478" s="799">
        <f>SUM(N1445:N1477)</f>
        <v>2</v>
      </c>
      <c r="O1478" s="799">
        <f t="shared" ref="O1478" si="36">SUM(O1445:O1477)</f>
        <v>1</v>
      </c>
      <c r="P1478" s="800"/>
      <c r="Q1478" s="26"/>
      <c r="R1478" s="26"/>
      <c r="S1478" s="37"/>
    </row>
    <row r="1479" spans="3:19" x14ac:dyDescent="0.2">
      <c r="C1479" s="801"/>
      <c r="D1479" s="802"/>
      <c r="E1479" s="803"/>
      <c r="F1479" s="803"/>
      <c r="G1479" s="804"/>
      <c r="H1479" s="805"/>
      <c r="I1479" s="806"/>
      <c r="J1479" s="806"/>
      <c r="K1479" s="805"/>
      <c r="L1479" s="805"/>
      <c r="M1479" s="805"/>
      <c r="N1479" s="807"/>
      <c r="O1479" s="807"/>
      <c r="P1479" s="808"/>
      <c r="Q1479" s="26"/>
      <c r="R1479" s="26"/>
      <c r="S1479" s="37"/>
    </row>
    <row r="1480" spans="3:19" x14ac:dyDescent="0.2">
      <c r="C1480" s="58"/>
      <c r="D1480" s="59"/>
      <c r="E1480" s="60"/>
      <c r="F1480" s="60"/>
      <c r="G1480" s="61"/>
      <c r="H1480" s="62"/>
      <c r="I1480" s="63"/>
      <c r="J1480" s="63"/>
      <c r="K1480" s="62"/>
      <c r="L1480" s="62"/>
      <c r="M1480" s="62"/>
      <c r="N1480" s="64"/>
      <c r="O1480" s="64"/>
      <c r="P1480" s="65"/>
      <c r="Q1480" s="26"/>
      <c r="R1480" s="26"/>
      <c r="S1480" s="37"/>
    </row>
    <row r="1481" spans="3:19" x14ac:dyDescent="0.2">
      <c r="C1481" s="365" t="s">
        <v>1</v>
      </c>
      <c r="D1481" s="668" t="s">
        <v>2</v>
      </c>
      <c r="E1481" s="669" t="s">
        <v>3</v>
      </c>
      <c r="F1481" s="669" t="s">
        <v>4</v>
      </c>
      <c r="G1481" s="670" t="s">
        <v>5</v>
      </c>
      <c r="H1481" s="669" t="s">
        <v>6</v>
      </c>
      <c r="I1481" s="671">
        <v>0.27641203703703704</v>
      </c>
      <c r="J1481" s="671" t="s">
        <v>76</v>
      </c>
      <c r="K1481" s="672"/>
      <c r="L1481" s="673"/>
      <c r="M1481" s="673" t="s">
        <v>9</v>
      </c>
      <c r="N1481" s="674" t="s">
        <v>10</v>
      </c>
      <c r="O1481" s="674" t="s">
        <v>11</v>
      </c>
      <c r="P1481" s="675"/>
      <c r="Q1481" s="26"/>
      <c r="R1481" s="26"/>
      <c r="S1481" s="37"/>
    </row>
    <row r="1482" spans="3:19" x14ac:dyDescent="0.25">
      <c r="C1482" s="809">
        <v>43</v>
      </c>
      <c r="D1482" s="810" t="s">
        <v>77</v>
      </c>
      <c r="E1482" s="811"/>
      <c r="F1482" s="812"/>
      <c r="G1482" s="32" t="s">
        <v>13</v>
      </c>
      <c r="H1482" s="33">
        <v>46082</v>
      </c>
      <c r="I1482" s="813">
        <v>0.33021990740740742</v>
      </c>
      <c r="J1482" s="814">
        <v>0.66729166666666673</v>
      </c>
      <c r="K1482" s="815"/>
      <c r="L1482" s="815"/>
      <c r="M1482" s="816"/>
      <c r="N1482" s="817"/>
      <c r="O1482" s="817">
        <v>1</v>
      </c>
      <c r="P1482" s="818"/>
      <c r="Q1482" s="26"/>
      <c r="R1482" s="26"/>
      <c r="S1482" s="37"/>
    </row>
    <row r="1483" spans="3:19" ht="14.25" customHeight="1" x14ac:dyDescent="0.25">
      <c r="C1483" s="809">
        <v>43</v>
      </c>
      <c r="D1483" s="810" t="s">
        <v>77</v>
      </c>
      <c r="E1483" s="811"/>
      <c r="F1483" s="812"/>
      <c r="G1483" s="29" t="s">
        <v>14</v>
      </c>
      <c r="H1483" s="33">
        <v>46083</v>
      </c>
      <c r="I1483" s="813">
        <v>0.33103009259259258</v>
      </c>
      <c r="J1483" s="814"/>
      <c r="K1483" s="815"/>
      <c r="L1483" s="815"/>
      <c r="M1483" s="816"/>
      <c r="N1483" s="817"/>
      <c r="O1483" s="817"/>
      <c r="P1483" s="818"/>
      <c r="Q1483" s="26"/>
      <c r="R1483" s="26"/>
      <c r="S1483" s="37"/>
    </row>
    <row r="1484" spans="3:19" x14ac:dyDescent="0.25">
      <c r="C1484" s="809">
        <v>43</v>
      </c>
      <c r="D1484" s="810" t="s">
        <v>77</v>
      </c>
      <c r="E1484" s="811"/>
      <c r="F1484" s="812"/>
      <c r="G1484" s="39" t="s">
        <v>15</v>
      </c>
      <c r="H1484" s="33">
        <v>46084</v>
      </c>
      <c r="I1484" s="819">
        <v>0.33144675925925926</v>
      </c>
      <c r="J1484" s="814">
        <v>0.84442129629629636</v>
      </c>
      <c r="K1484" s="815"/>
      <c r="L1484" s="815"/>
      <c r="M1484" s="816">
        <v>3</v>
      </c>
      <c r="N1484" s="817"/>
      <c r="O1484" s="817"/>
      <c r="P1484" s="818"/>
      <c r="Q1484" s="26"/>
      <c r="R1484" s="26"/>
      <c r="S1484" s="37"/>
    </row>
    <row r="1485" spans="3:19" x14ac:dyDescent="0.25">
      <c r="C1485" s="809">
        <v>43</v>
      </c>
      <c r="D1485" s="810" t="s">
        <v>77</v>
      </c>
      <c r="E1485" s="811"/>
      <c r="F1485" s="812"/>
      <c r="G1485" s="39" t="s">
        <v>16</v>
      </c>
      <c r="H1485" s="33">
        <v>46085</v>
      </c>
      <c r="I1485" s="819">
        <v>0.32828703703703704</v>
      </c>
      <c r="J1485" s="814">
        <v>0.7093518518518519</v>
      </c>
      <c r="K1485" s="815"/>
      <c r="L1485" s="815"/>
      <c r="M1485" s="816"/>
      <c r="N1485" s="817"/>
      <c r="O1485" s="817"/>
      <c r="P1485" s="818"/>
      <c r="Q1485" s="26"/>
      <c r="R1485" s="26"/>
      <c r="S1485" s="37"/>
    </row>
    <row r="1486" spans="3:19" x14ac:dyDescent="0.25">
      <c r="C1486" s="809">
        <v>43</v>
      </c>
      <c r="D1486" s="810" t="s">
        <v>77</v>
      </c>
      <c r="E1486" s="820"/>
      <c r="F1486" s="821"/>
      <c r="G1486" s="39" t="s">
        <v>17</v>
      </c>
      <c r="H1486" s="33">
        <v>46086</v>
      </c>
      <c r="I1486" s="819">
        <v>0.33049768518518519</v>
      </c>
      <c r="J1486" s="814">
        <v>0.84502314814814816</v>
      </c>
      <c r="K1486" s="815"/>
      <c r="L1486" s="815"/>
      <c r="M1486" s="816">
        <v>3</v>
      </c>
      <c r="N1486" s="817"/>
      <c r="O1486" s="817"/>
      <c r="P1486" s="818"/>
      <c r="Q1486" s="26"/>
      <c r="R1486" s="26"/>
      <c r="S1486" s="37"/>
    </row>
    <row r="1487" spans="3:19" x14ac:dyDescent="0.25">
      <c r="C1487" s="809">
        <v>43</v>
      </c>
      <c r="D1487" s="810" t="s">
        <v>77</v>
      </c>
      <c r="E1487" s="820"/>
      <c r="F1487" s="821"/>
      <c r="G1487" s="45" t="s">
        <v>18</v>
      </c>
      <c r="H1487" s="33">
        <v>46087</v>
      </c>
      <c r="I1487" s="819">
        <v>0.33175925925925925</v>
      </c>
      <c r="J1487" s="814">
        <v>0.84401620370370367</v>
      </c>
      <c r="K1487" s="815"/>
      <c r="L1487" s="815"/>
      <c r="M1487" s="816">
        <v>3</v>
      </c>
      <c r="N1487" s="817"/>
      <c r="O1487" s="817"/>
      <c r="P1487" s="818"/>
      <c r="Q1487" s="26"/>
      <c r="R1487" s="26"/>
      <c r="S1487" s="37"/>
    </row>
    <row r="1488" spans="3:19" x14ac:dyDescent="0.25">
      <c r="C1488" s="809">
        <v>43</v>
      </c>
      <c r="D1488" s="810" t="s">
        <v>77</v>
      </c>
      <c r="E1488" s="820"/>
      <c r="F1488" s="821"/>
      <c r="G1488" s="39" t="s">
        <v>19</v>
      </c>
      <c r="H1488" s="33">
        <v>46088</v>
      </c>
      <c r="I1488" s="819">
        <v>0.33263888888888887</v>
      </c>
      <c r="J1488" s="814">
        <v>0.5496064814814815</v>
      </c>
      <c r="K1488" s="815"/>
      <c r="L1488" s="815"/>
      <c r="M1488" s="816"/>
      <c r="N1488" s="817"/>
      <c r="O1488" s="817"/>
      <c r="P1488" s="818"/>
      <c r="Q1488" s="26"/>
      <c r="R1488" s="26"/>
      <c r="S1488" s="37"/>
    </row>
    <row r="1489" spans="3:19" x14ac:dyDescent="0.25">
      <c r="C1489" s="809">
        <v>43</v>
      </c>
      <c r="D1489" s="810" t="s">
        <v>77</v>
      </c>
      <c r="E1489" s="820"/>
      <c r="F1489" s="821"/>
      <c r="G1489" s="46" t="s">
        <v>13</v>
      </c>
      <c r="H1489" s="33">
        <v>46089</v>
      </c>
      <c r="I1489" s="813">
        <v>0.33079861111111114</v>
      </c>
      <c r="J1489" s="5">
        <v>0.66758101851851848</v>
      </c>
      <c r="K1489" s="815"/>
      <c r="L1489" s="815"/>
      <c r="M1489" s="816"/>
      <c r="N1489" s="817"/>
      <c r="O1489" s="817"/>
      <c r="P1489" s="818"/>
      <c r="Q1489" s="26"/>
      <c r="R1489" s="26"/>
      <c r="S1489" s="37"/>
    </row>
    <row r="1490" spans="3:19" x14ac:dyDescent="0.25">
      <c r="C1490" s="809">
        <v>43</v>
      </c>
      <c r="D1490" s="810" t="s">
        <v>77</v>
      </c>
      <c r="E1490" s="820"/>
      <c r="F1490" s="821"/>
      <c r="G1490" s="39" t="s">
        <v>14</v>
      </c>
      <c r="H1490" s="33">
        <v>46090</v>
      </c>
      <c r="I1490" s="5">
        <v>0.33078703703703705</v>
      </c>
      <c r="J1490" s="819">
        <v>0.84506944444444443</v>
      </c>
      <c r="K1490" s="815"/>
      <c r="L1490" s="815"/>
      <c r="M1490" s="816">
        <v>3</v>
      </c>
      <c r="N1490" s="817"/>
      <c r="O1490" s="817"/>
      <c r="P1490" s="818"/>
      <c r="Q1490" s="26"/>
      <c r="R1490" s="26"/>
      <c r="S1490" s="37"/>
    </row>
    <row r="1491" spans="3:19" x14ac:dyDescent="0.25">
      <c r="C1491" s="809">
        <v>43</v>
      </c>
      <c r="D1491" s="810" t="s">
        <v>77</v>
      </c>
      <c r="E1491" s="820"/>
      <c r="F1491" s="821"/>
      <c r="G1491" s="39" t="s">
        <v>15</v>
      </c>
      <c r="H1491" s="33">
        <v>46091</v>
      </c>
      <c r="I1491" s="813">
        <v>0.33129629629629631</v>
      </c>
      <c r="J1491" s="814">
        <v>0.70859953703703704</v>
      </c>
      <c r="K1491" s="815"/>
      <c r="L1491" s="815"/>
      <c r="M1491" s="816"/>
      <c r="N1491" s="817"/>
      <c r="O1491" s="817"/>
      <c r="P1491" s="818"/>
      <c r="Q1491" s="26"/>
      <c r="R1491" s="26"/>
      <c r="S1491" s="37"/>
    </row>
    <row r="1492" spans="3:19" x14ac:dyDescent="0.25">
      <c r="C1492" s="809">
        <v>43</v>
      </c>
      <c r="D1492" s="810" t="s">
        <v>77</v>
      </c>
      <c r="E1492" s="811"/>
      <c r="F1492" s="812"/>
      <c r="G1492" s="39" t="s">
        <v>16</v>
      </c>
      <c r="H1492" s="33">
        <v>46092</v>
      </c>
      <c r="I1492" s="819">
        <v>0.33021990740740742</v>
      </c>
      <c r="J1492" s="814">
        <v>0.70895833333333336</v>
      </c>
      <c r="K1492" s="815"/>
      <c r="L1492" s="815"/>
      <c r="M1492" s="816"/>
      <c r="N1492" s="817"/>
      <c r="O1492" s="817"/>
      <c r="P1492" s="818"/>
      <c r="Q1492" s="26"/>
      <c r="R1492" s="26"/>
      <c r="S1492" s="37"/>
    </row>
    <row r="1493" spans="3:19" x14ac:dyDescent="0.25">
      <c r="C1493" s="809">
        <v>43</v>
      </c>
      <c r="D1493" s="810" t="s">
        <v>77</v>
      </c>
      <c r="E1493" s="820"/>
      <c r="F1493" s="821"/>
      <c r="G1493" s="39" t="s">
        <v>17</v>
      </c>
      <c r="H1493" s="33">
        <v>46093</v>
      </c>
      <c r="I1493" s="819">
        <v>0.33048611111111109</v>
      </c>
      <c r="J1493" s="814">
        <v>0.7090277777777777</v>
      </c>
      <c r="K1493" s="815"/>
      <c r="L1493" s="815"/>
      <c r="M1493" s="816"/>
      <c r="N1493" s="817"/>
      <c r="O1493" s="817"/>
      <c r="P1493" s="818"/>
      <c r="Q1493" s="26"/>
      <c r="R1493" s="26"/>
      <c r="S1493" s="37"/>
    </row>
    <row r="1494" spans="3:19" x14ac:dyDescent="0.25">
      <c r="C1494" s="809">
        <v>43</v>
      </c>
      <c r="D1494" s="810" t="s">
        <v>77</v>
      </c>
      <c r="E1494" s="820"/>
      <c r="F1494" s="821"/>
      <c r="G1494" s="48" t="s">
        <v>18</v>
      </c>
      <c r="H1494" s="33">
        <v>46094</v>
      </c>
      <c r="I1494" s="813">
        <v>0.32903935185185185</v>
      </c>
      <c r="J1494" s="814">
        <v>0.70869212962962969</v>
      </c>
      <c r="K1494" s="815"/>
      <c r="L1494" s="815"/>
      <c r="M1494" s="816"/>
      <c r="N1494" s="817"/>
      <c r="O1494" s="817"/>
      <c r="P1494" s="818"/>
      <c r="Q1494" s="26"/>
      <c r="R1494" s="26"/>
      <c r="S1494" s="37"/>
    </row>
    <row r="1495" spans="3:19" x14ac:dyDescent="0.25">
      <c r="C1495" s="809">
        <v>43</v>
      </c>
      <c r="D1495" s="810" t="s">
        <v>77</v>
      </c>
      <c r="E1495" s="820"/>
      <c r="F1495" s="821"/>
      <c r="G1495" s="39" t="s">
        <v>19</v>
      </c>
      <c r="H1495" s="33">
        <v>46095</v>
      </c>
      <c r="I1495" s="819">
        <v>0.33166666666666667</v>
      </c>
      <c r="J1495" s="814"/>
      <c r="K1495" s="815"/>
      <c r="L1495" s="815"/>
      <c r="M1495" s="816"/>
      <c r="N1495" s="817"/>
      <c r="O1495" s="817"/>
      <c r="P1495" s="818"/>
      <c r="Q1495" s="26"/>
      <c r="R1495" s="26"/>
      <c r="S1495" s="37"/>
    </row>
    <row r="1496" spans="3:19" x14ac:dyDescent="0.25">
      <c r="C1496" s="809">
        <v>43</v>
      </c>
      <c r="D1496" s="810" t="s">
        <v>77</v>
      </c>
      <c r="E1496" s="820"/>
      <c r="F1496" s="821"/>
      <c r="G1496" s="46" t="s">
        <v>13</v>
      </c>
      <c r="H1496" s="33">
        <v>46096</v>
      </c>
      <c r="I1496" s="819"/>
      <c r="J1496" s="814"/>
      <c r="K1496" s="815"/>
      <c r="L1496" s="815"/>
      <c r="M1496" s="816"/>
      <c r="N1496" s="817"/>
      <c r="O1496" s="817"/>
      <c r="P1496" s="44"/>
      <c r="Q1496" s="26"/>
      <c r="R1496" s="26"/>
      <c r="S1496" s="37"/>
    </row>
    <row r="1497" spans="3:19" x14ac:dyDescent="0.25">
      <c r="C1497" s="809">
        <v>43</v>
      </c>
      <c r="D1497" s="810" t="s">
        <v>77</v>
      </c>
      <c r="E1497" s="820"/>
      <c r="F1497" s="821"/>
      <c r="G1497" s="39" t="s">
        <v>14</v>
      </c>
      <c r="H1497" s="33">
        <v>46097</v>
      </c>
      <c r="I1497" s="822"/>
      <c r="J1497" s="814"/>
      <c r="K1497" s="815"/>
      <c r="L1497" s="815"/>
      <c r="M1497" s="816"/>
      <c r="N1497" s="817"/>
      <c r="O1497" s="817"/>
      <c r="P1497" s="818"/>
      <c r="Q1497" s="26"/>
      <c r="R1497" s="26"/>
      <c r="S1497" s="37"/>
    </row>
    <row r="1498" spans="3:19" x14ac:dyDescent="0.25">
      <c r="C1498" s="809">
        <v>43</v>
      </c>
      <c r="D1498" s="810" t="s">
        <v>77</v>
      </c>
      <c r="E1498" s="820"/>
      <c r="F1498" s="821"/>
      <c r="G1498" s="39" t="s">
        <v>15</v>
      </c>
      <c r="H1498" s="33">
        <v>46098</v>
      </c>
      <c r="I1498" s="822"/>
      <c r="J1498" s="814"/>
      <c r="K1498" s="815"/>
      <c r="L1498" s="815"/>
      <c r="M1498" s="816"/>
      <c r="N1498" s="817"/>
      <c r="O1498" s="817"/>
      <c r="P1498" s="818"/>
      <c r="Q1498" s="26"/>
      <c r="R1498" s="26"/>
      <c r="S1498" s="37"/>
    </row>
    <row r="1499" spans="3:19" x14ac:dyDescent="0.25">
      <c r="C1499" s="809">
        <v>43</v>
      </c>
      <c r="D1499" s="810" t="s">
        <v>77</v>
      </c>
      <c r="E1499" s="820"/>
      <c r="F1499" s="821"/>
      <c r="G1499" s="39" t="s">
        <v>16</v>
      </c>
      <c r="H1499" s="33">
        <v>46099</v>
      </c>
      <c r="I1499" s="813"/>
      <c r="J1499" s="814"/>
      <c r="K1499" s="815"/>
      <c r="L1499" s="815"/>
      <c r="M1499" s="816"/>
      <c r="N1499" s="817"/>
      <c r="O1499" s="817"/>
      <c r="P1499" s="818"/>
      <c r="Q1499" s="26"/>
      <c r="R1499" s="26"/>
      <c r="S1499" s="37"/>
    </row>
    <row r="1500" spans="3:19" x14ac:dyDescent="0.25">
      <c r="C1500" s="809">
        <v>43</v>
      </c>
      <c r="D1500" s="810" t="s">
        <v>77</v>
      </c>
      <c r="E1500" s="820"/>
      <c r="F1500" s="821"/>
      <c r="G1500" s="39" t="s">
        <v>17</v>
      </c>
      <c r="H1500" s="33">
        <v>46100</v>
      </c>
      <c r="I1500" s="813"/>
      <c r="J1500" s="814"/>
      <c r="K1500" s="815"/>
      <c r="L1500" s="815"/>
      <c r="M1500" s="816"/>
      <c r="N1500" s="817"/>
      <c r="O1500" s="817"/>
      <c r="P1500" s="818"/>
      <c r="Q1500" s="26"/>
      <c r="R1500" s="26"/>
      <c r="S1500" s="37"/>
    </row>
    <row r="1501" spans="3:19" x14ac:dyDescent="0.25">
      <c r="C1501" s="809">
        <v>43</v>
      </c>
      <c r="D1501" s="810" t="s">
        <v>77</v>
      </c>
      <c r="E1501" s="820"/>
      <c r="F1501" s="821"/>
      <c r="G1501" s="39" t="s">
        <v>18</v>
      </c>
      <c r="H1501" s="33">
        <v>46101</v>
      </c>
      <c r="I1501" s="819"/>
      <c r="J1501" s="814"/>
      <c r="K1501" s="815"/>
      <c r="L1501" s="815"/>
      <c r="M1501" s="816"/>
      <c r="N1501" s="817"/>
      <c r="O1501" s="817"/>
      <c r="P1501" s="818"/>
      <c r="Q1501" s="26"/>
      <c r="R1501" s="26"/>
      <c r="S1501" s="37"/>
    </row>
    <row r="1502" spans="3:19" x14ac:dyDescent="0.25">
      <c r="C1502" s="809">
        <v>43</v>
      </c>
      <c r="D1502" s="810" t="s">
        <v>77</v>
      </c>
      <c r="E1502" s="820"/>
      <c r="F1502" s="821"/>
      <c r="G1502" s="39" t="s">
        <v>19</v>
      </c>
      <c r="H1502" s="33">
        <v>46102</v>
      </c>
      <c r="I1502" s="819"/>
      <c r="J1502" s="814"/>
      <c r="K1502" s="815"/>
      <c r="L1502" s="815"/>
      <c r="M1502" s="816"/>
      <c r="N1502" s="817"/>
      <c r="O1502" s="817"/>
      <c r="P1502" s="818"/>
      <c r="Q1502" s="26"/>
      <c r="R1502" s="26"/>
      <c r="S1502" s="37"/>
    </row>
    <row r="1503" spans="3:19" x14ac:dyDescent="0.25">
      <c r="C1503" s="809">
        <v>43</v>
      </c>
      <c r="D1503" s="810" t="s">
        <v>77</v>
      </c>
      <c r="E1503" s="820"/>
      <c r="F1503" s="821"/>
      <c r="G1503" s="46" t="s">
        <v>13</v>
      </c>
      <c r="H1503" s="33">
        <v>46103</v>
      </c>
      <c r="I1503" s="819"/>
      <c r="J1503" s="814"/>
      <c r="K1503" s="815"/>
      <c r="L1503" s="815"/>
      <c r="M1503" s="816"/>
      <c r="N1503" s="817"/>
      <c r="O1503" s="817"/>
      <c r="P1503" s="818"/>
      <c r="Q1503" s="26"/>
      <c r="R1503" s="26"/>
      <c r="S1503" s="37"/>
    </row>
    <row r="1504" spans="3:19" x14ac:dyDescent="0.25">
      <c r="C1504" s="809">
        <v>43</v>
      </c>
      <c r="D1504" s="810" t="s">
        <v>77</v>
      </c>
      <c r="E1504" s="820"/>
      <c r="F1504" s="821"/>
      <c r="G1504" s="39" t="s">
        <v>14</v>
      </c>
      <c r="H1504" s="33">
        <v>46104</v>
      </c>
      <c r="I1504" s="813"/>
      <c r="J1504" s="814"/>
      <c r="K1504" s="815"/>
      <c r="L1504" s="815"/>
      <c r="M1504" s="816"/>
      <c r="N1504" s="817"/>
      <c r="O1504" s="817"/>
      <c r="P1504" s="818"/>
      <c r="Q1504" s="26"/>
      <c r="R1504" s="26"/>
      <c r="S1504" s="37"/>
    </row>
    <row r="1505" spans="3:19" x14ac:dyDescent="0.25">
      <c r="C1505" s="809">
        <v>43</v>
      </c>
      <c r="D1505" s="810" t="s">
        <v>77</v>
      </c>
      <c r="E1505" s="820"/>
      <c r="F1505" s="821"/>
      <c r="G1505" s="39" t="s">
        <v>15</v>
      </c>
      <c r="H1505" s="33">
        <v>46105</v>
      </c>
      <c r="I1505" s="819"/>
      <c r="J1505" s="814"/>
      <c r="K1505" s="815"/>
      <c r="L1505" s="815"/>
      <c r="M1505" s="816"/>
      <c r="N1505" s="817"/>
      <c r="O1505" s="817"/>
      <c r="P1505" s="818"/>
      <c r="Q1505" s="26"/>
      <c r="R1505" s="26"/>
      <c r="S1505" s="37"/>
    </row>
    <row r="1506" spans="3:19" x14ac:dyDescent="0.25">
      <c r="C1506" s="809">
        <v>43</v>
      </c>
      <c r="D1506" s="810" t="s">
        <v>77</v>
      </c>
      <c r="E1506" s="820"/>
      <c r="F1506" s="821"/>
      <c r="G1506" s="39" t="s">
        <v>16</v>
      </c>
      <c r="H1506" s="33">
        <v>46106</v>
      </c>
      <c r="I1506" s="819"/>
      <c r="J1506" s="814"/>
      <c r="K1506" s="815"/>
      <c r="L1506" s="815"/>
      <c r="M1506" s="816"/>
      <c r="N1506" s="817"/>
      <c r="O1506" s="817"/>
      <c r="P1506" s="818"/>
      <c r="Q1506" s="26"/>
      <c r="R1506" s="26"/>
      <c r="S1506" s="37"/>
    </row>
    <row r="1507" spans="3:19" x14ac:dyDescent="0.25">
      <c r="C1507" s="809">
        <v>43</v>
      </c>
      <c r="D1507" s="810" t="s">
        <v>77</v>
      </c>
      <c r="E1507" s="820"/>
      <c r="F1507" s="821"/>
      <c r="G1507" s="39" t="s">
        <v>17</v>
      </c>
      <c r="H1507" s="33">
        <v>46107</v>
      </c>
      <c r="I1507" s="813"/>
      <c r="J1507" s="814"/>
      <c r="K1507" s="815"/>
      <c r="L1507" s="815"/>
      <c r="M1507" s="816"/>
      <c r="N1507" s="817"/>
      <c r="O1507" s="817"/>
      <c r="P1507" s="818"/>
      <c r="Q1507" s="26"/>
      <c r="R1507" s="26"/>
      <c r="S1507" s="37"/>
    </row>
    <row r="1508" spans="3:19" x14ac:dyDescent="0.25">
      <c r="C1508" s="809">
        <v>43</v>
      </c>
      <c r="D1508" s="810" t="s">
        <v>77</v>
      </c>
      <c r="E1508" s="820"/>
      <c r="F1508" s="821"/>
      <c r="G1508" s="39" t="s">
        <v>18</v>
      </c>
      <c r="H1508" s="33">
        <v>46108</v>
      </c>
      <c r="I1508" s="819"/>
      <c r="J1508" s="814"/>
      <c r="K1508" s="815"/>
      <c r="L1508" s="815"/>
      <c r="M1508" s="816"/>
      <c r="N1508" s="817"/>
      <c r="O1508" s="817"/>
      <c r="P1508" s="818"/>
      <c r="Q1508" s="26"/>
      <c r="R1508" s="26"/>
      <c r="S1508" s="37"/>
    </row>
    <row r="1509" spans="3:19" x14ac:dyDescent="0.25">
      <c r="C1509" s="809">
        <v>43</v>
      </c>
      <c r="D1509" s="810" t="s">
        <v>77</v>
      </c>
      <c r="E1509" s="820"/>
      <c r="F1509" s="821"/>
      <c r="G1509" s="39" t="s">
        <v>19</v>
      </c>
      <c r="H1509" s="33">
        <v>46109</v>
      </c>
      <c r="I1509" s="819"/>
      <c r="J1509" s="814"/>
      <c r="K1509" s="815"/>
      <c r="L1509" s="815"/>
      <c r="M1509" s="816"/>
      <c r="N1509" s="817"/>
      <c r="O1509" s="817"/>
      <c r="P1509" s="818"/>
      <c r="Q1509" s="26"/>
      <c r="R1509" s="26"/>
      <c r="S1509" s="37"/>
    </row>
    <row r="1510" spans="3:19" x14ac:dyDescent="0.25">
      <c r="C1510" s="809">
        <v>43</v>
      </c>
      <c r="D1510" s="810" t="s">
        <v>77</v>
      </c>
      <c r="E1510" s="820"/>
      <c r="F1510" s="821"/>
      <c r="G1510" s="46" t="s">
        <v>13</v>
      </c>
      <c r="H1510" s="33">
        <v>46110</v>
      </c>
      <c r="I1510" s="819"/>
      <c r="J1510" s="814"/>
      <c r="K1510" s="815"/>
      <c r="L1510" s="815"/>
      <c r="M1510" s="816"/>
      <c r="N1510" s="817"/>
      <c r="O1510" s="817"/>
      <c r="P1510" s="818"/>
      <c r="Q1510" s="26"/>
      <c r="R1510" s="26"/>
      <c r="S1510" s="37"/>
    </row>
    <row r="1511" spans="3:19" x14ac:dyDescent="0.25">
      <c r="C1511" s="809">
        <v>43</v>
      </c>
      <c r="D1511" s="810" t="s">
        <v>77</v>
      </c>
      <c r="E1511" s="820"/>
      <c r="F1511" s="821"/>
      <c r="G1511" s="39" t="s">
        <v>14</v>
      </c>
      <c r="H1511" s="33">
        <v>46111</v>
      </c>
      <c r="I1511" s="819"/>
      <c r="J1511" s="814"/>
      <c r="K1511" s="815"/>
      <c r="L1511" s="815"/>
      <c r="M1511" s="816"/>
      <c r="N1511" s="817"/>
      <c r="O1511" s="817"/>
      <c r="P1511" s="818"/>
      <c r="Q1511" s="26"/>
      <c r="R1511" s="26"/>
      <c r="S1511" s="37"/>
    </row>
    <row r="1512" spans="3:19" x14ac:dyDescent="0.25">
      <c r="C1512" s="809"/>
      <c r="D1512" s="810" t="s">
        <v>77</v>
      </c>
      <c r="E1512" s="820"/>
      <c r="F1512" s="821"/>
      <c r="G1512" s="39" t="s">
        <v>15</v>
      </c>
      <c r="H1512" s="33">
        <v>46112</v>
      </c>
      <c r="I1512" s="819"/>
      <c r="J1512" s="814"/>
      <c r="K1512" s="815"/>
      <c r="L1512" s="815"/>
      <c r="M1512" s="816"/>
      <c r="N1512" s="817"/>
      <c r="O1512" s="817"/>
      <c r="P1512" s="818"/>
      <c r="Q1512" s="26"/>
      <c r="R1512" s="26"/>
      <c r="S1512" s="37"/>
    </row>
    <row r="1513" spans="3:19" x14ac:dyDescent="0.25">
      <c r="C1513" s="823"/>
      <c r="D1513" s="824"/>
      <c r="E1513" s="825"/>
      <c r="F1513" s="825"/>
      <c r="G1513" s="826"/>
      <c r="H1513" s="827"/>
      <c r="I1513" s="828"/>
      <c r="J1513" s="829" t="s">
        <v>20</v>
      </c>
      <c r="K1513" s="830"/>
      <c r="L1513" s="830"/>
      <c r="M1513" s="831">
        <f>SUM(M1482:M1512)</f>
        <v>12</v>
      </c>
      <c r="N1513" s="831">
        <f t="shared" ref="N1513:O1513" si="37">SUM(N1482:N1512)</f>
        <v>0</v>
      </c>
      <c r="O1513" s="831">
        <f t="shared" si="37"/>
        <v>1</v>
      </c>
      <c r="P1513" s="832"/>
      <c r="Q1513" s="26"/>
      <c r="R1513" s="26"/>
      <c r="S1513" s="37"/>
    </row>
    <row r="1514" spans="3:19" x14ac:dyDescent="0.2">
      <c r="C1514" s="833"/>
      <c r="D1514" s="834"/>
      <c r="E1514" s="835"/>
      <c r="F1514" s="835"/>
      <c r="G1514" s="836"/>
      <c r="H1514" s="837"/>
      <c r="I1514" s="838"/>
      <c r="J1514" s="838"/>
      <c r="K1514" s="837"/>
      <c r="L1514" s="837"/>
      <c r="M1514" s="837"/>
      <c r="N1514" s="839"/>
      <c r="O1514" s="839"/>
      <c r="P1514" s="840"/>
      <c r="Q1514" s="26"/>
      <c r="R1514" s="26"/>
      <c r="S1514" s="37"/>
    </row>
    <row r="1515" spans="3:19" x14ac:dyDescent="0.2">
      <c r="C1515" s="58"/>
      <c r="D1515" s="59"/>
      <c r="E1515" s="60"/>
      <c r="F1515" s="60"/>
      <c r="G1515" s="61"/>
      <c r="H1515" s="62"/>
      <c r="I1515" s="63"/>
      <c r="J1515" s="63"/>
      <c r="K1515" s="62"/>
      <c r="L1515" s="62"/>
      <c r="M1515" s="62"/>
      <c r="N1515" s="64"/>
      <c r="O1515" s="64"/>
      <c r="P1515" s="65"/>
      <c r="Q1515" s="26"/>
      <c r="R1515" s="26"/>
      <c r="S1515" s="37"/>
    </row>
    <row r="1516" spans="3:19" x14ac:dyDescent="0.2">
      <c r="C1516" s="365" t="s">
        <v>1</v>
      </c>
      <c r="D1516" s="668" t="s">
        <v>2</v>
      </c>
      <c r="E1516" s="669" t="s">
        <v>3</v>
      </c>
      <c r="F1516" s="669" t="s">
        <v>4</v>
      </c>
      <c r="G1516" s="670" t="s">
        <v>5</v>
      </c>
      <c r="H1516" s="669" t="s">
        <v>6</v>
      </c>
      <c r="I1516" s="671" t="s">
        <v>7</v>
      </c>
      <c r="J1516" s="671" t="s">
        <v>8</v>
      </c>
      <c r="K1516" s="672"/>
      <c r="L1516" s="673"/>
      <c r="M1516" s="673" t="s">
        <v>9</v>
      </c>
      <c r="N1516" s="674" t="s">
        <v>10</v>
      </c>
      <c r="O1516" s="674" t="s">
        <v>11</v>
      </c>
      <c r="P1516" s="675"/>
      <c r="Q1516" s="26"/>
      <c r="R1516" s="26"/>
      <c r="S1516" s="37"/>
    </row>
    <row r="1517" spans="3:19" x14ac:dyDescent="0.25">
      <c r="C1517" s="841">
        <v>44</v>
      </c>
      <c r="D1517" s="842" t="s">
        <v>78</v>
      </c>
      <c r="E1517" s="843"/>
      <c r="F1517" s="844"/>
      <c r="G1517" s="32" t="s">
        <v>13</v>
      </c>
      <c r="H1517" s="33">
        <v>46082</v>
      </c>
      <c r="I1517" s="845"/>
      <c r="J1517" s="846"/>
      <c r="K1517" s="847"/>
      <c r="L1517" s="847"/>
      <c r="M1517" s="848"/>
      <c r="N1517" s="849"/>
      <c r="O1517" s="849"/>
      <c r="P1517" s="850"/>
      <c r="Q1517" s="26"/>
      <c r="R1517" s="26"/>
      <c r="S1517" s="37"/>
    </row>
    <row r="1518" spans="3:19" x14ac:dyDescent="0.25">
      <c r="C1518" s="841">
        <v>44</v>
      </c>
      <c r="D1518" s="842" t="s">
        <v>78</v>
      </c>
      <c r="E1518" s="843"/>
      <c r="F1518" s="844"/>
      <c r="G1518" s="29" t="s">
        <v>14</v>
      </c>
      <c r="H1518" s="33">
        <v>46083</v>
      </c>
      <c r="I1518" s="851">
        <v>0.32383101851851853</v>
      </c>
      <c r="J1518" s="846"/>
      <c r="K1518" s="847"/>
      <c r="L1518" s="847"/>
      <c r="M1518" s="848"/>
      <c r="N1518" s="849"/>
      <c r="O1518" s="849"/>
      <c r="P1518" s="850"/>
      <c r="Q1518" s="26"/>
      <c r="R1518" s="26"/>
      <c r="S1518" s="37"/>
    </row>
    <row r="1519" spans="3:19" x14ac:dyDescent="0.25">
      <c r="C1519" s="841">
        <v>44</v>
      </c>
      <c r="D1519" s="842" t="s">
        <v>78</v>
      </c>
      <c r="E1519" s="843"/>
      <c r="F1519" s="844"/>
      <c r="G1519" s="39" t="s">
        <v>15</v>
      </c>
      <c r="H1519" s="33">
        <v>46084</v>
      </c>
      <c r="I1519" s="852">
        <v>0.32774305555555555</v>
      </c>
      <c r="J1519" s="846">
        <v>0.71079861111111109</v>
      </c>
      <c r="K1519" s="847"/>
      <c r="L1519" s="847"/>
      <c r="M1519" s="848"/>
      <c r="N1519" s="849"/>
      <c r="O1519" s="849"/>
      <c r="P1519" s="850"/>
      <c r="Q1519" s="26"/>
      <c r="R1519" s="26"/>
      <c r="S1519" s="37"/>
    </row>
    <row r="1520" spans="3:19" x14ac:dyDescent="0.25">
      <c r="C1520" s="841">
        <v>44</v>
      </c>
      <c r="D1520" s="842" t="s">
        <v>78</v>
      </c>
      <c r="E1520" s="843"/>
      <c r="F1520" s="844"/>
      <c r="G1520" s="39" t="s">
        <v>16</v>
      </c>
      <c r="H1520" s="33">
        <v>46085</v>
      </c>
      <c r="I1520" s="852">
        <v>0.32550925925925928</v>
      </c>
      <c r="J1520" s="846"/>
      <c r="K1520" s="847"/>
      <c r="L1520" s="847"/>
      <c r="M1520" s="848"/>
      <c r="N1520" s="849"/>
      <c r="O1520" s="849"/>
      <c r="P1520" s="850"/>
      <c r="Q1520" s="26"/>
      <c r="R1520" s="26"/>
      <c r="S1520" s="37"/>
    </row>
    <row r="1521" spans="3:19" x14ac:dyDescent="0.25">
      <c r="C1521" s="841">
        <v>44</v>
      </c>
      <c r="D1521" s="842" t="s">
        <v>78</v>
      </c>
      <c r="E1521" s="853"/>
      <c r="F1521" s="854"/>
      <c r="G1521" s="39" t="s">
        <v>17</v>
      </c>
      <c r="H1521" s="33">
        <v>46086</v>
      </c>
      <c r="I1521" s="852">
        <v>0.32</v>
      </c>
      <c r="J1521" s="846">
        <v>0.71023148148148152</v>
      </c>
      <c r="K1521" s="847"/>
      <c r="L1521" s="847"/>
      <c r="M1521" s="848"/>
      <c r="N1521" s="849"/>
      <c r="O1521" s="849"/>
      <c r="P1521" s="850"/>
      <c r="Q1521" s="26"/>
      <c r="R1521" s="26"/>
      <c r="S1521" s="37"/>
    </row>
    <row r="1522" spans="3:19" x14ac:dyDescent="0.25">
      <c r="C1522" s="841">
        <v>44</v>
      </c>
      <c r="D1522" s="842" t="s">
        <v>78</v>
      </c>
      <c r="E1522" s="853"/>
      <c r="F1522" s="854"/>
      <c r="G1522" s="45" t="s">
        <v>18</v>
      </c>
      <c r="H1522" s="33">
        <v>46087</v>
      </c>
      <c r="I1522" s="852">
        <v>0.32065972222222222</v>
      </c>
      <c r="J1522" s="846">
        <v>0.71053240740740742</v>
      </c>
      <c r="K1522" s="847"/>
      <c r="L1522" s="847"/>
      <c r="M1522" s="848"/>
      <c r="N1522" s="849"/>
      <c r="O1522" s="849"/>
      <c r="P1522" s="850"/>
      <c r="Q1522" s="26"/>
      <c r="R1522" s="26"/>
      <c r="S1522" s="37"/>
    </row>
    <row r="1523" spans="3:19" x14ac:dyDescent="0.25">
      <c r="C1523" s="841">
        <v>44</v>
      </c>
      <c r="D1523" s="842" t="s">
        <v>78</v>
      </c>
      <c r="E1523" s="853"/>
      <c r="F1523" s="854"/>
      <c r="G1523" s="39" t="s">
        <v>19</v>
      </c>
      <c r="H1523" s="33">
        <v>46088</v>
      </c>
      <c r="I1523" s="852">
        <v>0.32436342592592593</v>
      </c>
      <c r="J1523" s="846">
        <v>0.54258101851851859</v>
      </c>
      <c r="K1523" s="847"/>
      <c r="L1523" s="847"/>
      <c r="M1523" s="848"/>
      <c r="N1523" s="849"/>
      <c r="O1523" s="849"/>
      <c r="P1523" s="850"/>
      <c r="Q1523" s="26"/>
      <c r="R1523" s="26"/>
      <c r="S1523" s="37"/>
    </row>
    <row r="1524" spans="3:19" x14ac:dyDescent="0.25">
      <c r="C1524" s="841">
        <v>44</v>
      </c>
      <c r="D1524" s="842" t="s">
        <v>78</v>
      </c>
      <c r="E1524" s="853"/>
      <c r="F1524" s="854"/>
      <c r="G1524" s="46" t="s">
        <v>13</v>
      </c>
      <c r="H1524" s="33">
        <v>46089</v>
      </c>
      <c r="I1524" s="845"/>
      <c r="K1524" s="847"/>
      <c r="L1524" s="847"/>
      <c r="M1524" s="848"/>
      <c r="N1524" s="849"/>
      <c r="O1524" s="849"/>
      <c r="P1524" s="850"/>
      <c r="Q1524" s="26"/>
      <c r="R1524" s="26"/>
      <c r="S1524" s="37"/>
    </row>
    <row r="1525" spans="3:19" x14ac:dyDescent="0.25">
      <c r="C1525" s="841">
        <v>44</v>
      </c>
      <c r="D1525" s="842" t="s">
        <v>78</v>
      </c>
      <c r="E1525" s="853"/>
      <c r="F1525" s="854"/>
      <c r="G1525" s="39" t="s">
        <v>14</v>
      </c>
      <c r="H1525" s="33">
        <v>46090</v>
      </c>
      <c r="I1525" s="5">
        <v>0.32290509259259259</v>
      </c>
      <c r="J1525" s="852">
        <v>0.71032407407407405</v>
      </c>
      <c r="K1525" s="847"/>
      <c r="L1525" s="847"/>
      <c r="M1525" s="848"/>
      <c r="N1525" s="849"/>
      <c r="O1525" s="849"/>
      <c r="P1525" s="850"/>
      <c r="Q1525" s="26"/>
      <c r="R1525" s="26"/>
      <c r="S1525" s="37"/>
    </row>
    <row r="1526" spans="3:19" x14ac:dyDescent="0.25">
      <c r="C1526" s="841">
        <v>44</v>
      </c>
      <c r="D1526" s="842" t="s">
        <v>78</v>
      </c>
      <c r="E1526" s="853"/>
      <c r="F1526" s="854"/>
      <c r="G1526" s="39" t="s">
        <v>15</v>
      </c>
      <c r="H1526" s="33">
        <v>46091</v>
      </c>
      <c r="I1526" s="851">
        <v>0.32390046296296299</v>
      </c>
      <c r="J1526" s="846">
        <v>0.71261574074074074</v>
      </c>
      <c r="K1526" s="847"/>
      <c r="L1526" s="847"/>
      <c r="M1526" s="848"/>
      <c r="N1526" s="849"/>
      <c r="O1526" s="849"/>
      <c r="P1526" s="850"/>
      <c r="Q1526" s="26"/>
      <c r="R1526" s="26"/>
      <c r="S1526" s="37"/>
    </row>
    <row r="1527" spans="3:19" x14ac:dyDescent="0.25">
      <c r="C1527" s="841">
        <v>44</v>
      </c>
      <c r="D1527" s="842" t="s">
        <v>78</v>
      </c>
      <c r="E1527" s="843"/>
      <c r="F1527" s="844"/>
      <c r="G1527" s="39" t="s">
        <v>16</v>
      </c>
      <c r="H1527" s="33">
        <v>46092</v>
      </c>
      <c r="I1527" s="851">
        <v>0.32098379629629631</v>
      </c>
      <c r="J1527" s="846">
        <v>0.71086805555555566</v>
      </c>
      <c r="K1527" s="847"/>
      <c r="L1527" s="847"/>
      <c r="M1527" s="848"/>
      <c r="N1527" s="849"/>
      <c r="O1527" s="849"/>
      <c r="P1527" s="850"/>
      <c r="Q1527" s="26"/>
      <c r="R1527" s="26"/>
      <c r="S1527" s="37"/>
    </row>
    <row r="1528" spans="3:19" x14ac:dyDescent="0.25">
      <c r="C1528" s="841">
        <v>44</v>
      </c>
      <c r="D1528" s="842" t="s">
        <v>78</v>
      </c>
      <c r="E1528" s="853"/>
      <c r="F1528" s="854"/>
      <c r="G1528" s="39" t="s">
        <v>17</v>
      </c>
      <c r="H1528" s="33">
        <v>46093</v>
      </c>
      <c r="I1528" s="851">
        <v>0.31972222222222224</v>
      </c>
      <c r="J1528" s="846">
        <v>0.71281250000000007</v>
      </c>
      <c r="K1528" s="847"/>
      <c r="L1528" s="847"/>
      <c r="M1528" s="848"/>
      <c r="N1528" s="849"/>
      <c r="O1528" s="849"/>
      <c r="P1528" s="850"/>
      <c r="Q1528" s="26"/>
      <c r="R1528" s="26"/>
      <c r="S1528" s="37"/>
    </row>
    <row r="1529" spans="3:19" x14ac:dyDescent="0.25">
      <c r="C1529" s="841">
        <v>44</v>
      </c>
      <c r="D1529" s="842" t="s">
        <v>78</v>
      </c>
      <c r="E1529" s="853"/>
      <c r="F1529" s="854"/>
      <c r="G1529" s="48" t="s">
        <v>18</v>
      </c>
      <c r="H1529" s="33">
        <v>46094</v>
      </c>
      <c r="I1529" s="851">
        <v>0.3258449074074074</v>
      </c>
      <c r="J1529" s="846">
        <v>0.71216435185185178</v>
      </c>
      <c r="K1529" s="847"/>
      <c r="L1529" s="847"/>
      <c r="M1529" s="848"/>
      <c r="N1529" s="849"/>
      <c r="O1529" s="849"/>
      <c r="P1529" s="850"/>
      <c r="Q1529" s="26"/>
      <c r="R1529" s="26"/>
      <c r="S1529" s="37"/>
    </row>
    <row r="1530" spans="3:19" x14ac:dyDescent="0.25">
      <c r="C1530" s="841">
        <v>44</v>
      </c>
      <c r="D1530" s="842" t="s">
        <v>78</v>
      </c>
      <c r="E1530" s="853"/>
      <c r="F1530" s="854"/>
      <c r="G1530" s="39" t="s">
        <v>19</v>
      </c>
      <c r="H1530" s="33">
        <v>46095</v>
      </c>
      <c r="I1530" s="851">
        <v>0.32827546296296295</v>
      </c>
      <c r="J1530" s="846"/>
      <c r="K1530" s="847"/>
      <c r="L1530" s="847"/>
      <c r="M1530" s="848"/>
      <c r="N1530" s="849"/>
      <c r="O1530" s="849"/>
      <c r="P1530" s="850"/>
      <c r="Q1530" s="26"/>
      <c r="R1530" s="26"/>
      <c r="S1530" s="37"/>
    </row>
    <row r="1531" spans="3:19" x14ac:dyDescent="0.25">
      <c r="C1531" s="841">
        <v>44</v>
      </c>
      <c r="D1531" s="842" t="s">
        <v>78</v>
      </c>
      <c r="E1531" s="853"/>
      <c r="F1531" s="854"/>
      <c r="G1531" s="46" t="s">
        <v>13</v>
      </c>
      <c r="H1531" s="33">
        <v>46096</v>
      </c>
      <c r="I1531" s="851"/>
      <c r="J1531" s="846"/>
      <c r="K1531" s="847"/>
      <c r="L1531" s="847"/>
      <c r="M1531" s="848"/>
      <c r="N1531" s="849"/>
      <c r="O1531" s="849"/>
      <c r="P1531" s="44"/>
      <c r="Q1531" s="26"/>
      <c r="R1531" s="26"/>
      <c r="S1531" s="37"/>
    </row>
    <row r="1532" spans="3:19" x14ac:dyDescent="0.25">
      <c r="C1532" s="841">
        <v>44</v>
      </c>
      <c r="D1532" s="842" t="s">
        <v>78</v>
      </c>
      <c r="E1532" s="853"/>
      <c r="F1532" s="854"/>
      <c r="G1532" s="39" t="s">
        <v>14</v>
      </c>
      <c r="H1532" s="33">
        <v>46097</v>
      </c>
      <c r="I1532" s="851"/>
      <c r="J1532" s="846"/>
      <c r="K1532" s="847"/>
      <c r="L1532" s="847"/>
      <c r="M1532" s="848"/>
      <c r="N1532" s="849"/>
      <c r="O1532" s="849"/>
      <c r="P1532" s="850"/>
      <c r="Q1532" s="26"/>
      <c r="R1532" s="26"/>
      <c r="S1532" s="37"/>
    </row>
    <row r="1533" spans="3:19" x14ac:dyDescent="0.25">
      <c r="C1533" s="841">
        <v>44</v>
      </c>
      <c r="D1533" s="842" t="s">
        <v>78</v>
      </c>
      <c r="E1533" s="853"/>
      <c r="F1533" s="854"/>
      <c r="G1533" s="39" t="s">
        <v>15</v>
      </c>
      <c r="H1533" s="33">
        <v>46098</v>
      </c>
      <c r="I1533" s="851"/>
      <c r="J1533" s="846"/>
      <c r="K1533" s="847"/>
      <c r="L1533" s="847"/>
      <c r="M1533" s="848"/>
      <c r="N1533" s="849"/>
      <c r="O1533" s="849"/>
      <c r="P1533" s="850"/>
      <c r="Q1533" s="26"/>
      <c r="R1533" s="26"/>
      <c r="S1533" s="37"/>
    </row>
    <row r="1534" spans="3:19" x14ac:dyDescent="0.25">
      <c r="C1534" s="841">
        <v>44</v>
      </c>
      <c r="D1534" s="842" t="s">
        <v>78</v>
      </c>
      <c r="E1534" s="853"/>
      <c r="F1534" s="854"/>
      <c r="G1534" s="39" t="s">
        <v>16</v>
      </c>
      <c r="H1534" s="33">
        <v>46099</v>
      </c>
      <c r="I1534" s="851"/>
      <c r="J1534" s="846"/>
      <c r="K1534" s="847"/>
      <c r="L1534" s="847"/>
      <c r="M1534" s="848"/>
      <c r="N1534" s="849"/>
      <c r="O1534" s="849"/>
      <c r="P1534" s="850"/>
      <c r="Q1534" s="26"/>
      <c r="R1534" s="26"/>
      <c r="S1534" s="37"/>
    </row>
    <row r="1535" spans="3:19" x14ac:dyDescent="0.25">
      <c r="C1535" s="841">
        <v>44</v>
      </c>
      <c r="D1535" s="842" t="s">
        <v>78</v>
      </c>
      <c r="E1535" s="853"/>
      <c r="F1535" s="854"/>
      <c r="G1535" s="39" t="s">
        <v>17</v>
      </c>
      <c r="H1535" s="33">
        <v>46100</v>
      </c>
      <c r="I1535" s="851"/>
      <c r="J1535" s="846"/>
      <c r="K1535" s="847"/>
      <c r="L1535" s="847"/>
      <c r="M1535" s="848"/>
      <c r="N1535" s="849"/>
      <c r="O1535" s="849"/>
      <c r="P1535" s="850"/>
      <c r="Q1535" s="26"/>
      <c r="R1535" s="26"/>
      <c r="S1535" s="37"/>
    </row>
    <row r="1536" spans="3:19" x14ac:dyDescent="0.25">
      <c r="C1536" s="841">
        <v>44</v>
      </c>
      <c r="D1536" s="842" t="s">
        <v>78</v>
      </c>
      <c r="E1536" s="853"/>
      <c r="F1536" s="854"/>
      <c r="G1536" s="39" t="s">
        <v>18</v>
      </c>
      <c r="H1536" s="33">
        <v>46101</v>
      </c>
      <c r="I1536" s="851"/>
      <c r="J1536" s="846"/>
      <c r="K1536" s="847"/>
      <c r="L1536" s="847"/>
      <c r="M1536" s="848"/>
      <c r="N1536" s="849"/>
      <c r="O1536" s="849"/>
      <c r="P1536" s="850"/>
      <c r="Q1536" s="26"/>
      <c r="R1536" s="26"/>
      <c r="S1536" s="37"/>
    </row>
    <row r="1537" spans="3:19" x14ac:dyDescent="0.25">
      <c r="C1537" s="841">
        <v>44</v>
      </c>
      <c r="D1537" s="842" t="s">
        <v>78</v>
      </c>
      <c r="E1537" s="853"/>
      <c r="F1537" s="854"/>
      <c r="G1537" s="39" t="s">
        <v>19</v>
      </c>
      <c r="H1537" s="33">
        <v>46102</v>
      </c>
      <c r="I1537" s="851"/>
      <c r="J1537" s="846"/>
      <c r="K1537" s="847"/>
      <c r="L1537" s="847"/>
      <c r="M1537" s="848"/>
      <c r="N1537" s="849"/>
      <c r="O1537" s="849"/>
      <c r="P1537" s="850"/>
      <c r="Q1537" s="26"/>
      <c r="R1537" s="26"/>
      <c r="S1537" s="37"/>
    </row>
    <row r="1538" spans="3:19" x14ac:dyDescent="0.25">
      <c r="C1538" s="841">
        <v>44</v>
      </c>
      <c r="D1538" s="842" t="s">
        <v>78</v>
      </c>
      <c r="E1538" s="853"/>
      <c r="F1538" s="854"/>
      <c r="G1538" s="46" t="s">
        <v>13</v>
      </c>
      <c r="H1538" s="33">
        <v>46103</v>
      </c>
      <c r="I1538" s="851"/>
      <c r="J1538" s="846"/>
      <c r="K1538" s="847"/>
      <c r="L1538" s="847"/>
      <c r="M1538" s="848"/>
      <c r="N1538" s="849"/>
      <c r="O1538" s="849"/>
      <c r="P1538" s="850"/>
      <c r="Q1538" s="26"/>
      <c r="R1538" s="26"/>
      <c r="S1538" s="37"/>
    </row>
    <row r="1539" spans="3:19" x14ac:dyDescent="0.25">
      <c r="C1539" s="841">
        <v>44</v>
      </c>
      <c r="D1539" s="842" t="s">
        <v>78</v>
      </c>
      <c r="E1539" s="853"/>
      <c r="F1539" s="854"/>
      <c r="G1539" s="39" t="s">
        <v>14</v>
      </c>
      <c r="H1539" s="33">
        <v>46104</v>
      </c>
      <c r="I1539" s="851"/>
      <c r="J1539" s="846"/>
      <c r="K1539" s="847"/>
      <c r="L1539" s="847"/>
      <c r="M1539" s="848"/>
      <c r="N1539" s="849"/>
      <c r="O1539" s="849"/>
      <c r="P1539" s="850"/>
      <c r="Q1539" s="26"/>
      <c r="R1539" s="26"/>
      <c r="S1539" s="37"/>
    </row>
    <row r="1540" spans="3:19" x14ac:dyDescent="0.25">
      <c r="C1540" s="841">
        <v>44</v>
      </c>
      <c r="D1540" s="842" t="s">
        <v>78</v>
      </c>
      <c r="E1540" s="853"/>
      <c r="F1540" s="854"/>
      <c r="G1540" s="39" t="s">
        <v>15</v>
      </c>
      <c r="H1540" s="33">
        <v>46105</v>
      </c>
      <c r="I1540" s="851"/>
      <c r="J1540" s="846"/>
      <c r="K1540" s="847"/>
      <c r="L1540" s="847"/>
      <c r="M1540" s="848"/>
      <c r="N1540" s="849"/>
      <c r="O1540" s="849"/>
      <c r="P1540" s="850"/>
      <c r="Q1540" s="26"/>
      <c r="R1540" s="26"/>
      <c r="S1540" s="37"/>
    </row>
    <row r="1541" spans="3:19" x14ac:dyDescent="0.25">
      <c r="C1541" s="841">
        <v>44</v>
      </c>
      <c r="D1541" s="842" t="s">
        <v>78</v>
      </c>
      <c r="E1541" s="853"/>
      <c r="F1541" s="854"/>
      <c r="G1541" s="39" t="s">
        <v>16</v>
      </c>
      <c r="H1541" s="33">
        <v>46106</v>
      </c>
      <c r="I1541" s="851"/>
      <c r="J1541" s="846"/>
      <c r="K1541" s="847"/>
      <c r="L1541" s="847"/>
      <c r="M1541" s="848"/>
      <c r="N1541" s="849"/>
      <c r="O1541" s="849"/>
      <c r="P1541" s="850"/>
      <c r="Q1541" s="26"/>
      <c r="R1541" s="26"/>
      <c r="S1541" s="37"/>
    </row>
    <row r="1542" spans="3:19" x14ac:dyDescent="0.25">
      <c r="C1542" s="841">
        <v>44</v>
      </c>
      <c r="D1542" s="842" t="s">
        <v>78</v>
      </c>
      <c r="E1542" s="853"/>
      <c r="F1542" s="854"/>
      <c r="G1542" s="39" t="s">
        <v>17</v>
      </c>
      <c r="H1542" s="33">
        <v>46107</v>
      </c>
      <c r="I1542" s="851"/>
      <c r="J1542" s="846"/>
      <c r="K1542" s="847"/>
      <c r="L1542" s="847"/>
      <c r="M1542" s="848"/>
      <c r="N1542" s="849"/>
      <c r="O1542" s="849"/>
      <c r="P1542" s="850"/>
      <c r="Q1542" s="26"/>
      <c r="R1542" s="26"/>
      <c r="S1542" s="37"/>
    </row>
    <row r="1543" spans="3:19" x14ac:dyDescent="0.25">
      <c r="C1543" s="841">
        <v>44</v>
      </c>
      <c r="D1543" s="842" t="s">
        <v>78</v>
      </c>
      <c r="E1543" s="853"/>
      <c r="F1543" s="854"/>
      <c r="G1543" s="39" t="s">
        <v>18</v>
      </c>
      <c r="H1543" s="33">
        <v>46108</v>
      </c>
      <c r="I1543" s="851"/>
      <c r="J1543" s="846"/>
      <c r="K1543" s="847"/>
      <c r="L1543" s="847"/>
      <c r="M1543" s="848"/>
      <c r="N1543" s="849"/>
      <c r="O1543" s="849"/>
      <c r="P1543" s="850"/>
      <c r="Q1543" s="26"/>
      <c r="R1543" s="26"/>
      <c r="S1543" s="37"/>
    </row>
    <row r="1544" spans="3:19" x14ac:dyDescent="0.25">
      <c r="C1544" s="841">
        <v>44</v>
      </c>
      <c r="D1544" s="842" t="s">
        <v>78</v>
      </c>
      <c r="E1544" s="853"/>
      <c r="F1544" s="854"/>
      <c r="G1544" s="39" t="s">
        <v>19</v>
      </c>
      <c r="H1544" s="33">
        <v>46109</v>
      </c>
      <c r="I1544" s="851"/>
      <c r="J1544" s="846"/>
      <c r="K1544" s="847"/>
      <c r="L1544" s="847"/>
      <c r="M1544" s="848"/>
      <c r="N1544" s="849"/>
      <c r="O1544" s="849"/>
      <c r="P1544" s="850"/>
      <c r="Q1544" s="26"/>
      <c r="R1544" s="26"/>
      <c r="S1544" s="37"/>
    </row>
    <row r="1545" spans="3:19" x14ac:dyDescent="0.25">
      <c r="C1545" s="841">
        <v>44</v>
      </c>
      <c r="D1545" s="842" t="s">
        <v>78</v>
      </c>
      <c r="E1545" s="853"/>
      <c r="F1545" s="854"/>
      <c r="G1545" s="46" t="s">
        <v>13</v>
      </c>
      <c r="H1545" s="33">
        <v>46110</v>
      </c>
      <c r="I1545" s="851"/>
      <c r="J1545" s="846"/>
      <c r="K1545" s="847"/>
      <c r="L1545" s="847"/>
      <c r="M1545" s="848"/>
      <c r="N1545" s="849"/>
      <c r="O1545" s="849"/>
      <c r="P1545" s="850"/>
      <c r="Q1545" s="26"/>
      <c r="R1545" s="26"/>
      <c r="S1545" s="37"/>
    </row>
    <row r="1546" spans="3:19" x14ac:dyDescent="0.25">
      <c r="C1546" s="841">
        <v>44</v>
      </c>
      <c r="D1546" s="842" t="s">
        <v>78</v>
      </c>
      <c r="E1546" s="853"/>
      <c r="F1546" s="854"/>
      <c r="G1546" s="39" t="s">
        <v>14</v>
      </c>
      <c r="H1546" s="33">
        <v>46111</v>
      </c>
      <c r="I1546" s="851"/>
      <c r="J1546" s="846"/>
      <c r="K1546" s="847"/>
      <c r="L1546" s="847"/>
      <c r="M1546" s="848"/>
      <c r="N1546" s="849"/>
      <c r="O1546" s="849"/>
      <c r="P1546" s="850"/>
      <c r="Q1546" s="26"/>
      <c r="R1546" s="26"/>
      <c r="S1546" s="37"/>
    </row>
    <row r="1547" spans="3:19" x14ac:dyDescent="0.25">
      <c r="C1547" s="841">
        <v>44</v>
      </c>
      <c r="D1547" s="842" t="s">
        <v>78</v>
      </c>
      <c r="E1547" s="853"/>
      <c r="F1547" s="854"/>
      <c r="G1547" s="39" t="s">
        <v>15</v>
      </c>
      <c r="H1547" s="33">
        <v>46112</v>
      </c>
      <c r="I1547" s="851"/>
      <c r="J1547" s="846"/>
      <c r="K1547" s="847"/>
      <c r="L1547" s="847"/>
      <c r="M1547" s="848"/>
      <c r="N1547" s="849"/>
      <c r="O1547" s="849"/>
      <c r="P1547" s="850"/>
      <c r="Q1547" s="26"/>
      <c r="R1547" s="26"/>
      <c r="S1547" s="37"/>
    </row>
    <row r="1548" spans="3:19" x14ac:dyDescent="0.25">
      <c r="C1548" s="1087" t="s">
        <v>78</v>
      </c>
      <c r="D1548" s="1088"/>
      <c r="E1548" s="1088"/>
      <c r="F1548" s="1088"/>
      <c r="G1548" s="1088"/>
      <c r="H1548" s="1089"/>
      <c r="I1548" s="855"/>
      <c r="J1548" s="856" t="s">
        <v>20</v>
      </c>
      <c r="K1548" s="857"/>
      <c r="L1548" s="857"/>
      <c r="M1548" s="858">
        <f>SUM(M1517:M1547)</f>
        <v>0</v>
      </c>
      <c r="N1548" s="858">
        <f t="shared" ref="N1548:O1548" si="38">SUM(N1517:N1547)</f>
        <v>0</v>
      </c>
      <c r="O1548" s="858">
        <f t="shared" si="38"/>
        <v>0</v>
      </c>
      <c r="P1548" s="859"/>
      <c r="Q1548" s="26"/>
      <c r="R1548" s="26"/>
      <c r="S1548" s="37"/>
    </row>
    <row r="1549" spans="3:19" x14ac:dyDescent="0.2">
      <c r="C1549" s="860"/>
      <c r="D1549" s="861"/>
      <c r="E1549" s="862"/>
      <c r="F1549" s="862"/>
      <c r="G1549" s="863"/>
      <c r="H1549" s="864"/>
      <c r="I1549" s="865"/>
      <c r="J1549" s="865"/>
      <c r="K1549" s="864"/>
      <c r="L1549" s="864"/>
      <c r="M1549" s="864"/>
      <c r="N1549" s="866"/>
      <c r="O1549" s="866"/>
      <c r="P1549" s="867"/>
      <c r="Q1549" s="26"/>
      <c r="R1549" s="26"/>
      <c r="S1549" s="37"/>
    </row>
    <row r="1550" spans="3:19" x14ac:dyDescent="0.2">
      <c r="C1550" s="58"/>
      <c r="D1550" s="59"/>
      <c r="E1550" s="60"/>
      <c r="F1550" s="60"/>
      <c r="G1550" s="61"/>
      <c r="H1550" s="62"/>
      <c r="I1550" s="63"/>
      <c r="J1550" s="63"/>
      <c r="K1550" s="62"/>
      <c r="L1550" s="62"/>
      <c r="M1550" s="62"/>
      <c r="N1550" s="64"/>
      <c r="O1550" s="64"/>
      <c r="P1550" s="65"/>
      <c r="Q1550" s="26"/>
      <c r="R1550" s="26"/>
      <c r="S1550" s="37"/>
    </row>
    <row r="1551" spans="3:19" x14ac:dyDescent="0.2">
      <c r="C1551" s="365" t="s">
        <v>1</v>
      </c>
      <c r="D1551" s="668" t="s">
        <v>2</v>
      </c>
      <c r="E1551" s="669" t="s">
        <v>3</v>
      </c>
      <c r="F1551" s="669" t="s">
        <v>4</v>
      </c>
      <c r="G1551" s="670" t="s">
        <v>5</v>
      </c>
      <c r="H1551" s="669" t="s">
        <v>6</v>
      </c>
      <c r="I1551" s="671" t="s">
        <v>7</v>
      </c>
      <c r="J1551" s="671" t="s">
        <v>8</v>
      </c>
      <c r="K1551" s="672"/>
      <c r="L1551" s="673"/>
      <c r="M1551" s="673" t="s">
        <v>9</v>
      </c>
      <c r="N1551" s="674" t="s">
        <v>10</v>
      </c>
      <c r="O1551" s="674" t="s">
        <v>11</v>
      </c>
      <c r="P1551" s="675"/>
      <c r="Q1551" s="26"/>
      <c r="R1551" s="26"/>
      <c r="S1551" s="37"/>
    </row>
    <row r="1552" spans="3:19" x14ac:dyDescent="0.25">
      <c r="C1552" s="868">
        <v>45</v>
      </c>
      <c r="D1552" s="869" t="s">
        <v>79</v>
      </c>
      <c r="E1552" s="870"/>
      <c r="F1552" s="871"/>
      <c r="G1552" s="32" t="s">
        <v>13</v>
      </c>
      <c r="H1552" s="33">
        <v>46082</v>
      </c>
      <c r="I1552" s="872"/>
      <c r="J1552" s="873"/>
      <c r="K1552" s="874"/>
      <c r="L1552" s="874"/>
      <c r="M1552" s="875"/>
      <c r="N1552" s="876"/>
      <c r="O1552" s="876"/>
      <c r="P1552" s="877"/>
      <c r="Q1552" s="26"/>
      <c r="R1552" s="26"/>
      <c r="S1552" s="37"/>
    </row>
    <row r="1553" spans="3:19" x14ac:dyDescent="0.25">
      <c r="C1553" s="868">
        <v>45</v>
      </c>
      <c r="D1553" s="869" t="s">
        <v>79</v>
      </c>
      <c r="E1553" s="870"/>
      <c r="F1553" s="871"/>
      <c r="G1553" s="29" t="s">
        <v>14</v>
      </c>
      <c r="H1553" s="33">
        <v>46083</v>
      </c>
      <c r="I1553" s="878">
        <v>0.30890046296296297</v>
      </c>
      <c r="J1553" s="873"/>
      <c r="K1553" s="874"/>
      <c r="L1553" s="874"/>
      <c r="M1553" s="875"/>
      <c r="N1553" s="876"/>
      <c r="O1553" s="876"/>
      <c r="P1553" s="877"/>
      <c r="Q1553" s="26"/>
      <c r="R1553" s="26"/>
      <c r="S1553" s="37"/>
    </row>
    <row r="1554" spans="3:19" x14ac:dyDescent="0.25">
      <c r="C1554" s="868">
        <v>45</v>
      </c>
      <c r="D1554" s="869" t="s">
        <v>79</v>
      </c>
      <c r="E1554" s="870"/>
      <c r="F1554" s="871"/>
      <c r="G1554" s="39" t="s">
        <v>15</v>
      </c>
      <c r="H1554" s="33">
        <v>46084</v>
      </c>
      <c r="I1554" s="879">
        <v>0.31591435185185185</v>
      </c>
      <c r="J1554" s="873">
        <v>0.70898148148148143</v>
      </c>
      <c r="K1554" s="874"/>
      <c r="L1554" s="874"/>
      <c r="M1554" s="875"/>
      <c r="N1554" s="876"/>
      <c r="O1554" s="876"/>
      <c r="P1554" s="877"/>
      <c r="Q1554" s="26"/>
      <c r="R1554" s="26"/>
      <c r="S1554" s="37"/>
    </row>
    <row r="1555" spans="3:19" x14ac:dyDescent="0.25">
      <c r="C1555" s="868">
        <v>45</v>
      </c>
      <c r="D1555" s="869" t="s">
        <v>79</v>
      </c>
      <c r="E1555" s="870"/>
      <c r="F1555" s="871"/>
      <c r="G1555" s="39" t="s">
        <v>16</v>
      </c>
      <c r="H1555" s="33">
        <v>46085</v>
      </c>
      <c r="I1555" s="879">
        <v>0.31385416666666666</v>
      </c>
      <c r="J1555" s="873">
        <v>0.71511574074074069</v>
      </c>
      <c r="K1555" s="874"/>
      <c r="L1555" s="874"/>
      <c r="M1555" s="875"/>
      <c r="N1555" s="876"/>
      <c r="O1555" s="876"/>
      <c r="P1555" s="877"/>
      <c r="Q1555" s="26"/>
      <c r="R1555" s="26"/>
      <c r="S1555" s="37"/>
    </row>
    <row r="1556" spans="3:19" x14ac:dyDescent="0.25">
      <c r="C1556" s="868">
        <v>45</v>
      </c>
      <c r="D1556" s="869" t="s">
        <v>79</v>
      </c>
      <c r="E1556" s="880"/>
      <c r="F1556" s="881"/>
      <c r="G1556" s="39" t="s">
        <v>17</v>
      </c>
      <c r="H1556" s="33">
        <v>46086</v>
      </c>
      <c r="I1556" s="879">
        <v>0.30899305555555556</v>
      </c>
      <c r="J1556" s="873">
        <v>0.70877314814814818</v>
      </c>
      <c r="K1556" s="874"/>
      <c r="L1556" s="874"/>
      <c r="M1556" s="875"/>
      <c r="N1556" s="876"/>
      <c r="O1556" s="876"/>
      <c r="P1556" s="877"/>
      <c r="Q1556" s="26"/>
      <c r="R1556" s="26"/>
      <c r="S1556" s="37"/>
    </row>
    <row r="1557" spans="3:19" x14ac:dyDescent="0.25">
      <c r="C1557" s="868">
        <v>45</v>
      </c>
      <c r="D1557" s="869" t="s">
        <v>79</v>
      </c>
      <c r="E1557" s="880"/>
      <c r="F1557" s="881"/>
      <c r="G1557" s="45" t="s">
        <v>18</v>
      </c>
      <c r="H1557" s="33">
        <v>46087</v>
      </c>
      <c r="I1557" s="879">
        <v>0.30430555555555555</v>
      </c>
      <c r="J1557" s="873">
        <v>0.70881944444444445</v>
      </c>
      <c r="K1557" s="874"/>
      <c r="L1557" s="874"/>
      <c r="M1557" s="875"/>
      <c r="N1557" s="876"/>
      <c r="O1557" s="876"/>
      <c r="P1557" s="877"/>
      <c r="Q1557" s="26"/>
      <c r="R1557" s="26"/>
      <c r="S1557" s="37"/>
    </row>
    <row r="1558" spans="3:19" x14ac:dyDescent="0.25">
      <c r="C1558" s="868">
        <v>45</v>
      </c>
      <c r="D1558" s="869" t="s">
        <v>79</v>
      </c>
      <c r="E1558" s="880"/>
      <c r="F1558" s="881"/>
      <c r="G1558" s="39" t="s">
        <v>19</v>
      </c>
      <c r="H1558" s="33">
        <v>46088</v>
      </c>
      <c r="I1558" s="879">
        <v>0.31108796296296298</v>
      </c>
      <c r="J1558" s="873">
        <v>0.54223379629629631</v>
      </c>
      <c r="K1558" s="874"/>
      <c r="L1558" s="874"/>
      <c r="M1558" s="875"/>
      <c r="N1558" s="876"/>
      <c r="O1558" s="876"/>
      <c r="P1558" s="877"/>
      <c r="Q1558" s="26"/>
      <c r="R1558" s="26"/>
      <c r="S1558" s="37"/>
    </row>
    <row r="1559" spans="3:19" x14ac:dyDescent="0.25">
      <c r="C1559" s="868">
        <v>45</v>
      </c>
      <c r="D1559" s="869" t="s">
        <v>79</v>
      </c>
      <c r="E1559" s="880"/>
      <c r="F1559" s="881"/>
      <c r="G1559" s="46" t="s">
        <v>13</v>
      </c>
      <c r="H1559" s="33">
        <v>46089</v>
      </c>
      <c r="I1559" s="872"/>
      <c r="K1559" s="874"/>
      <c r="L1559" s="874"/>
      <c r="M1559" s="875"/>
      <c r="N1559" s="876"/>
      <c r="O1559" s="876"/>
      <c r="P1559" s="877"/>
      <c r="Q1559" s="26"/>
      <c r="R1559" s="26"/>
      <c r="S1559" s="37"/>
    </row>
    <row r="1560" spans="3:19" x14ac:dyDescent="0.25">
      <c r="C1560" s="868">
        <v>45</v>
      </c>
      <c r="D1560" s="869" t="s">
        <v>79</v>
      </c>
      <c r="E1560" s="880"/>
      <c r="F1560" s="881"/>
      <c r="G1560" s="39" t="s">
        <v>14</v>
      </c>
      <c r="H1560" s="33">
        <v>46090</v>
      </c>
      <c r="I1560" s="5">
        <v>0.30685185185185188</v>
      </c>
      <c r="J1560" s="879">
        <v>0.70865740740740746</v>
      </c>
      <c r="K1560" s="874"/>
      <c r="L1560" s="874"/>
      <c r="M1560" s="875"/>
      <c r="N1560" s="876"/>
      <c r="O1560" s="876"/>
      <c r="P1560" s="877"/>
      <c r="Q1560" s="26"/>
      <c r="R1560" s="26"/>
      <c r="S1560" s="37"/>
    </row>
    <row r="1561" spans="3:19" x14ac:dyDescent="0.25">
      <c r="C1561" s="868">
        <v>45</v>
      </c>
      <c r="D1561" s="869" t="s">
        <v>79</v>
      </c>
      <c r="E1561" s="880"/>
      <c r="F1561" s="881"/>
      <c r="G1561" s="39" t="s">
        <v>15</v>
      </c>
      <c r="H1561" s="33">
        <v>46091</v>
      </c>
      <c r="I1561" s="878">
        <v>0.3112037037037037</v>
      </c>
      <c r="J1561" s="873">
        <v>0.7084259259259259</v>
      </c>
      <c r="K1561" s="874"/>
      <c r="L1561" s="874"/>
      <c r="M1561" s="875"/>
      <c r="N1561" s="876"/>
      <c r="O1561" s="876"/>
      <c r="P1561" s="877"/>
      <c r="Q1561" s="26"/>
      <c r="R1561" s="26"/>
      <c r="S1561" s="37"/>
    </row>
    <row r="1562" spans="3:19" x14ac:dyDescent="0.25">
      <c r="C1562" s="868">
        <v>45</v>
      </c>
      <c r="D1562" s="869" t="s">
        <v>79</v>
      </c>
      <c r="E1562" s="880"/>
      <c r="F1562" s="881"/>
      <c r="G1562" s="39" t="s">
        <v>16</v>
      </c>
      <c r="H1562" s="33">
        <v>46092</v>
      </c>
      <c r="I1562" s="879">
        <v>0.30638888888888888</v>
      </c>
      <c r="J1562" s="873">
        <v>0.70876157407407403</v>
      </c>
      <c r="K1562" s="874"/>
      <c r="L1562" s="874"/>
      <c r="M1562" s="875"/>
      <c r="N1562" s="876"/>
      <c r="O1562" s="876"/>
      <c r="P1562" s="877"/>
      <c r="Q1562" s="26"/>
      <c r="R1562" s="26"/>
      <c r="S1562" s="37"/>
    </row>
    <row r="1563" spans="3:19" x14ac:dyDescent="0.25">
      <c r="C1563" s="868">
        <v>45</v>
      </c>
      <c r="D1563" s="869" t="s">
        <v>79</v>
      </c>
      <c r="E1563" s="870"/>
      <c r="F1563" s="871"/>
      <c r="G1563" s="39" t="s">
        <v>17</v>
      </c>
      <c r="H1563" s="33">
        <v>46093</v>
      </c>
      <c r="I1563" s="879">
        <v>0.31394675925925924</v>
      </c>
      <c r="J1563" s="873">
        <v>0.70921296296296299</v>
      </c>
      <c r="K1563" s="874"/>
      <c r="L1563" s="874"/>
      <c r="M1563" s="875"/>
      <c r="N1563" s="876"/>
      <c r="O1563" s="876"/>
      <c r="P1563" s="877"/>
      <c r="Q1563" s="26"/>
      <c r="R1563" s="26"/>
      <c r="S1563" s="37"/>
    </row>
    <row r="1564" spans="3:19" x14ac:dyDescent="0.25">
      <c r="C1564" s="868">
        <v>45</v>
      </c>
      <c r="D1564" s="869" t="s">
        <v>79</v>
      </c>
      <c r="E1564" s="880"/>
      <c r="F1564" s="881"/>
      <c r="G1564" s="48" t="s">
        <v>18</v>
      </c>
      <c r="H1564" s="33">
        <v>46094</v>
      </c>
      <c r="I1564" s="878">
        <v>0.30738425925925927</v>
      </c>
      <c r="J1564" s="873">
        <v>0.84070601851851856</v>
      </c>
      <c r="K1564" s="874"/>
      <c r="L1564" s="874"/>
      <c r="M1564" s="875">
        <v>3</v>
      </c>
      <c r="N1564" s="876"/>
      <c r="O1564" s="876"/>
      <c r="P1564" s="877"/>
      <c r="Q1564" s="26"/>
      <c r="R1564" s="26"/>
      <c r="S1564" s="37"/>
    </row>
    <row r="1565" spans="3:19" x14ac:dyDescent="0.25">
      <c r="C1565" s="868">
        <v>45</v>
      </c>
      <c r="D1565" s="869" t="s">
        <v>79</v>
      </c>
      <c r="E1565" s="880"/>
      <c r="F1565" s="881"/>
      <c r="G1565" s="39" t="s">
        <v>19</v>
      </c>
      <c r="H1565" s="33">
        <v>46095</v>
      </c>
      <c r="I1565" s="879">
        <v>0.32811342592592591</v>
      </c>
      <c r="J1565" s="873"/>
      <c r="K1565" s="874"/>
      <c r="L1565" s="874"/>
      <c r="M1565" s="875"/>
      <c r="N1565" s="876"/>
      <c r="O1565" s="876"/>
      <c r="P1565" s="877"/>
      <c r="Q1565" s="26"/>
      <c r="R1565" s="26"/>
      <c r="S1565" s="37"/>
    </row>
    <row r="1566" spans="3:19" x14ac:dyDescent="0.25">
      <c r="C1566" s="868">
        <v>45</v>
      </c>
      <c r="D1566" s="869" t="s">
        <v>79</v>
      </c>
      <c r="E1566" s="880"/>
      <c r="F1566" s="881"/>
      <c r="G1566" s="46" t="s">
        <v>13</v>
      </c>
      <c r="H1566" s="33">
        <v>46096</v>
      </c>
      <c r="I1566" s="879"/>
      <c r="J1566" s="873"/>
      <c r="K1566" s="874"/>
      <c r="L1566" s="874"/>
      <c r="M1566" s="875"/>
      <c r="N1566" s="876"/>
      <c r="O1566" s="876"/>
      <c r="P1566" s="44"/>
      <c r="Q1566" s="26"/>
      <c r="R1566" s="26"/>
      <c r="S1566" s="37"/>
    </row>
    <row r="1567" spans="3:19" x14ac:dyDescent="0.25">
      <c r="C1567" s="868">
        <v>45</v>
      </c>
      <c r="D1567" s="869" t="s">
        <v>79</v>
      </c>
      <c r="E1567" s="880"/>
      <c r="F1567" s="881"/>
      <c r="G1567" s="39" t="s">
        <v>14</v>
      </c>
      <c r="H1567" s="33">
        <v>46097</v>
      </c>
      <c r="I1567" s="872"/>
      <c r="J1567" s="873"/>
      <c r="K1567" s="874"/>
      <c r="L1567" s="874"/>
      <c r="M1567" s="875"/>
      <c r="N1567" s="876"/>
      <c r="O1567" s="876"/>
      <c r="P1567" s="877"/>
      <c r="Q1567" s="26"/>
      <c r="R1567" s="26"/>
      <c r="S1567" s="37"/>
    </row>
    <row r="1568" spans="3:19" x14ac:dyDescent="0.25">
      <c r="C1568" s="868">
        <v>45</v>
      </c>
      <c r="D1568" s="869" t="s">
        <v>79</v>
      </c>
      <c r="E1568" s="880"/>
      <c r="F1568" s="881"/>
      <c r="G1568" s="39" t="s">
        <v>15</v>
      </c>
      <c r="H1568" s="33">
        <v>46098</v>
      </c>
      <c r="I1568" s="872"/>
      <c r="J1568" s="873"/>
      <c r="K1568" s="874"/>
      <c r="L1568" s="874"/>
      <c r="M1568" s="875"/>
      <c r="N1568" s="876"/>
      <c r="O1568" s="876"/>
      <c r="P1568" s="877"/>
      <c r="Q1568" s="26"/>
      <c r="R1568" s="26"/>
      <c r="S1568" s="37"/>
    </row>
    <row r="1569" spans="3:19" x14ac:dyDescent="0.25">
      <c r="C1569" s="868">
        <v>45</v>
      </c>
      <c r="D1569" s="869" t="s">
        <v>79</v>
      </c>
      <c r="E1569" s="880"/>
      <c r="F1569" s="881"/>
      <c r="G1569" s="39" t="s">
        <v>16</v>
      </c>
      <c r="H1569" s="33">
        <v>46099</v>
      </c>
      <c r="I1569" s="878"/>
      <c r="J1569" s="873"/>
      <c r="K1569" s="874"/>
      <c r="L1569" s="874"/>
      <c r="M1569" s="875"/>
      <c r="N1569" s="876"/>
      <c r="O1569" s="876"/>
      <c r="P1569" s="877"/>
      <c r="Q1569" s="26"/>
      <c r="R1569" s="26"/>
      <c r="S1569" s="37"/>
    </row>
    <row r="1570" spans="3:19" x14ac:dyDescent="0.25">
      <c r="C1570" s="868">
        <v>45</v>
      </c>
      <c r="D1570" s="869" t="s">
        <v>79</v>
      </c>
      <c r="E1570" s="880"/>
      <c r="F1570" s="881"/>
      <c r="G1570" s="39" t="s">
        <v>17</v>
      </c>
      <c r="H1570" s="33">
        <v>46100</v>
      </c>
      <c r="I1570" s="878"/>
      <c r="J1570" s="873"/>
      <c r="K1570" s="874"/>
      <c r="L1570" s="874"/>
      <c r="M1570" s="875"/>
      <c r="N1570" s="876"/>
      <c r="O1570" s="876"/>
      <c r="P1570" s="877"/>
      <c r="Q1570" s="26"/>
      <c r="R1570" s="26"/>
      <c r="S1570" s="37"/>
    </row>
    <row r="1571" spans="3:19" x14ac:dyDescent="0.25">
      <c r="C1571" s="868">
        <v>45</v>
      </c>
      <c r="D1571" s="869" t="s">
        <v>79</v>
      </c>
      <c r="E1571" s="880"/>
      <c r="F1571" s="881"/>
      <c r="G1571" s="39" t="s">
        <v>18</v>
      </c>
      <c r="H1571" s="33">
        <v>46101</v>
      </c>
      <c r="I1571" s="879"/>
      <c r="J1571" s="873"/>
      <c r="K1571" s="874"/>
      <c r="L1571" s="874"/>
      <c r="M1571" s="875"/>
      <c r="N1571" s="876"/>
      <c r="O1571" s="876"/>
      <c r="P1571" s="877"/>
      <c r="Q1571" s="26"/>
      <c r="R1571" s="26"/>
      <c r="S1571" s="37"/>
    </row>
    <row r="1572" spans="3:19" x14ac:dyDescent="0.25">
      <c r="C1572" s="868">
        <v>45</v>
      </c>
      <c r="D1572" s="869" t="s">
        <v>79</v>
      </c>
      <c r="E1572" s="880"/>
      <c r="F1572" s="881"/>
      <c r="G1572" s="39" t="s">
        <v>19</v>
      </c>
      <c r="H1572" s="33">
        <v>46102</v>
      </c>
      <c r="I1572" s="879"/>
      <c r="J1572" s="873"/>
      <c r="K1572" s="874"/>
      <c r="L1572" s="874"/>
      <c r="M1572" s="875"/>
      <c r="N1572" s="876"/>
      <c r="O1572" s="876"/>
      <c r="P1572" s="877"/>
      <c r="Q1572" s="26"/>
      <c r="R1572" s="26"/>
      <c r="S1572" s="37"/>
    </row>
    <row r="1573" spans="3:19" x14ac:dyDescent="0.25">
      <c r="C1573" s="868">
        <v>45</v>
      </c>
      <c r="D1573" s="869" t="s">
        <v>79</v>
      </c>
      <c r="E1573" s="880"/>
      <c r="F1573" s="881"/>
      <c r="G1573" s="46" t="s">
        <v>13</v>
      </c>
      <c r="H1573" s="33">
        <v>46103</v>
      </c>
      <c r="I1573" s="879"/>
      <c r="J1573" s="873"/>
      <c r="K1573" s="874"/>
      <c r="L1573" s="874"/>
      <c r="M1573" s="875"/>
      <c r="N1573" s="876"/>
      <c r="O1573" s="876"/>
      <c r="P1573" s="877"/>
      <c r="Q1573" s="26"/>
      <c r="R1573" s="26"/>
      <c r="S1573" s="37"/>
    </row>
    <row r="1574" spans="3:19" x14ac:dyDescent="0.25">
      <c r="C1574" s="868">
        <v>45</v>
      </c>
      <c r="D1574" s="869" t="s">
        <v>79</v>
      </c>
      <c r="E1574" s="880"/>
      <c r="F1574" s="881"/>
      <c r="G1574" s="39" t="s">
        <v>14</v>
      </c>
      <c r="H1574" s="33">
        <v>46104</v>
      </c>
      <c r="I1574" s="878"/>
      <c r="J1574" s="873"/>
      <c r="K1574" s="874"/>
      <c r="L1574" s="874"/>
      <c r="M1574" s="875"/>
      <c r="N1574" s="876"/>
      <c r="O1574" s="876"/>
      <c r="P1574" s="877"/>
      <c r="Q1574" s="26"/>
      <c r="R1574" s="26"/>
      <c r="S1574" s="37"/>
    </row>
    <row r="1575" spans="3:19" x14ac:dyDescent="0.25">
      <c r="C1575" s="868">
        <v>45</v>
      </c>
      <c r="D1575" s="869" t="s">
        <v>79</v>
      </c>
      <c r="E1575" s="880"/>
      <c r="F1575" s="881"/>
      <c r="G1575" s="39" t="s">
        <v>15</v>
      </c>
      <c r="H1575" s="33">
        <v>46105</v>
      </c>
      <c r="I1575" s="879"/>
      <c r="J1575" s="873"/>
      <c r="K1575" s="874"/>
      <c r="L1575" s="874"/>
      <c r="M1575" s="875"/>
      <c r="N1575" s="876"/>
      <c r="O1575" s="876"/>
      <c r="P1575" s="877"/>
      <c r="Q1575" s="26"/>
      <c r="R1575" s="26"/>
      <c r="S1575" s="37"/>
    </row>
    <row r="1576" spans="3:19" x14ac:dyDescent="0.25">
      <c r="C1576" s="868">
        <v>45</v>
      </c>
      <c r="D1576" s="869" t="s">
        <v>79</v>
      </c>
      <c r="E1576" s="880"/>
      <c r="F1576" s="881"/>
      <c r="G1576" s="39" t="s">
        <v>16</v>
      </c>
      <c r="H1576" s="33">
        <v>46106</v>
      </c>
      <c r="I1576" s="879"/>
      <c r="J1576" s="873"/>
      <c r="K1576" s="874"/>
      <c r="L1576" s="874"/>
      <c r="M1576" s="875"/>
      <c r="N1576" s="876"/>
      <c r="O1576" s="876"/>
      <c r="P1576" s="877"/>
      <c r="Q1576" s="26"/>
      <c r="R1576" s="26"/>
      <c r="S1576" s="37"/>
    </row>
    <row r="1577" spans="3:19" x14ac:dyDescent="0.25">
      <c r="C1577" s="868">
        <v>45</v>
      </c>
      <c r="D1577" s="869" t="s">
        <v>79</v>
      </c>
      <c r="E1577" s="880"/>
      <c r="F1577" s="881"/>
      <c r="G1577" s="39" t="s">
        <v>17</v>
      </c>
      <c r="H1577" s="33">
        <v>46107</v>
      </c>
      <c r="I1577" s="878"/>
      <c r="J1577" s="873"/>
      <c r="K1577" s="874"/>
      <c r="L1577" s="874"/>
      <c r="M1577" s="875"/>
      <c r="N1577" s="876"/>
      <c r="O1577" s="876"/>
      <c r="P1577" s="877"/>
      <c r="Q1577" s="26"/>
      <c r="R1577" s="26"/>
      <c r="S1577" s="37"/>
    </row>
    <row r="1578" spans="3:19" x14ac:dyDescent="0.25">
      <c r="C1578" s="868">
        <v>45</v>
      </c>
      <c r="D1578" s="869" t="s">
        <v>79</v>
      </c>
      <c r="E1578" s="880"/>
      <c r="F1578" s="881"/>
      <c r="G1578" s="39" t="s">
        <v>18</v>
      </c>
      <c r="H1578" s="33">
        <v>46108</v>
      </c>
      <c r="I1578" s="879"/>
      <c r="J1578" s="873"/>
      <c r="K1578" s="874"/>
      <c r="L1578" s="874"/>
      <c r="M1578" s="875"/>
      <c r="N1578" s="876"/>
      <c r="O1578" s="876"/>
      <c r="P1578" s="877"/>
      <c r="Q1578" s="26"/>
      <c r="R1578" s="26"/>
      <c r="S1578" s="37"/>
    </row>
    <row r="1579" spans="3:19" x14ac:dyDescent="0.25">
      <c r="C1579" s="868">
        <v>45</v>
      </c>
      <c r="D1579" s="869" t="s">
        <v>79</v>
      </c>
      <c r="E1579" s="880"/>
      <c r="F1579" s="881"/>
      <c r="G1579" s="39" t="s">
        <v>19</v>
      </c>
      <c r="H1579" s="33">
        <v>46109</v>
      </c>
      <c r="I1579" s="879"/>
      <c r="J1579" s="873"/>
      <c r="K1579" s="874"/>
      <c r="L1579" s="874"/>
      <c r="M1579" s="875"/>
      <c r="N1579" s="876"/>
      <c r="O1579" s="876"/>
      <c r="P1579" s="877"/>
      <c r="Q1579" s="26"/>
      <c r="R1579" s="26"/>
      <c r="S1579" s="37"/>
    </row>
    <row r="1580" spans="3:19" x14ac:dyDescent="0.25">
      <c r="C1580" s="868">
        <v>45</v>
      </c>
      <c r="D1580" s="869" t="s">
        <v>79</v>
      </c>
      <c r="E1580" s="880"/>
      <c r="F1580" s="881"/>
      <c r="G1580" s="46" t="s">
        <v>13</v>
      </c>
      <c r="H1580" s="33">
        <v>46110</v>
      </c>
      <c r="I1580" s="879"/>
      <c r="J1580" s="873"/>
      <c r="K1580" s="874"/>
      <c r="L1580" s="874"/>
      <c r="M1580" s="875"/>
      <c r="N1580" s="876"/>
      <c r="O1580" s="876"/>
      <c r="P1580" s="877"/>
      <c r="Q1580" s="26"/>
      <c r="R1580" s="26"/>
      <c r="S1580" s="37"/>
    </row>
    <row r="1581" spans="3:19" x14ac:dyDescent="0.25">
      <c r="C1581" s="868">
        <v>45</v>
      </c>
      <c r="D1581" s="869" t="s">
        <v>79</v>
      </c>
      <c r="E1581" s="880"/>
      <c r="F1581" s="881"/>
      <c r="G1581" s="39" t="s">
        <v>14</v>
      </c>
      <c r="H1581" s="33">
        <v>46111</v>
      </c>
      <c r="I1581" s="879"/>
      <c r="J1581" s="873"/>
      <c r="K1581" s="874"/>
      <c r="L1581" s="874"/>
      <c r="M1581" s="875"/>
      <c r="N1581" s="876"/>
      <c r="O1581" s="876"/>
      <c r="P1581" s="877"/>
      <c r="Q1581" s="26"/>
      <c r="R1581" s="26"/>
      <c r="S1581" s="37"/>
    </row>
    <row r="1582" spans="3:19" x14ac:dyDescent="0.25">
      <c r="C1582" s="868">
        <v>45</v>
      </c>
      <c r="D1582" s="869" t="s">
        <v>79</v>
      </c>
      <c r="E1582" s="880"/>
      <c r="F1582" s="881"/>
      <c r="G1582" s="39" t="s">
        <v>15</v>
      </c>
      <c r="H1582" s="33">
        <v>46112</v>
      </c>
      <c r="I1582" s="879"/>
      <c r="J1582" s="873"/>
      <c r="K1582" s="874"/>
      <c r="L1582" s="874"/>
      <c r="M1582" s="875"/>
      <c r="N1582" s="876"/>
      <c r="O1582" s="876"/>
      <c r="P1582" s="877"/>
      <c r="Q1582" s="26"/>
      <c r="R1582" s="26"/>
      <c r="S1582" s="37"/>
    </row>
    <row r="1583" spans="3:19" x14ac:dyDescent="0.25">
      <c r="C1583" s="868"/>
      <c r="D1583" s="869"/>
      <c r="E1583" s="880"/>
      <c r="F1583" s="881"/>
      <c r="G1583" s="39"/>
      <c r="H1583" s="33"/>
      <c r="I1583" s="882"/>
      <c r="J1583" s="882"/>
      <c r="K1583" s="883"/>
      <c r="L1583" s="883"/>
      <c r="M1583" s="884"/>
      <c r="N1583" s="885"/>
      <c r="O1583" s="885"/>
      <c r="P1583" s="877"/>
      <c r="Q1583" s="26"/>
      <c r="R1583" s="26"/>
      <c r="S1583" s="37"/>
    </row>
    <row r="1584" spans="3:19" x14ac:dyDescent="0.25">
      <c r="C1584" s="886"/>
      <c r="D1584" s="887"/>
      <c r="E1584" s="888"/>
      <c r="F1584" s="888"/>
      <c r="G1584" s="889"/>
      <c r="H1584" s="890"/>
      <c r="I1584" s="891" t="str">
        <f>D1555</f>
        <v>TOSIN</v>
      </c>
      <c r="J1584" s="892" t="s">
        <v>20</v>
      </c>
      <c r="K1584" s="893"/>
      <c r="L1584" s="893"/>
      <c r="M1584" s="894">
        <f>SUM(M1552:M1583)</f>
        <v>3</v>
      </c>
      <c r="N1584" s="894">
        <f t="shared" ref="N1584:O1584" si="39">SUM(N1552:N1583)</f>
        <v>0</v>
      </c>
      <c r="O1584" s="894">
        <f t="shared" si="39"/>
        <v>0</v>
      </c>
      <c r="P1584" s="895"/>
      <c r="Q1584" s="26"/>
      <c r="R1584" s="26"/>
      <c r="S1584" s="37"/>
    </row>
    <row r="1585" spans="3:19" x14ac:dyDescent="0.2">
      <c r="C1585" s="58"/>
      <c r="D1585" s="59"/>
      <c r="E1585" s="60"/>
      <c r="F1585" s="60"/>
      <c r="G1585" s="61"/>
      <c r="H1585" s="62"/>
      <c r="I1585" s="63"/>
      <c r="J1585" s="63"/>
      <c r="K1585" s="62"/>
      <c r="L1585" s="62"/>
      <c r="M1585" s="62"/>
      <c r="N1585" s="64"/>
      <c r="O1585" s="64"/>
      <c r="P1585" s="65"/>
      <c r="Q1585" s="26"/>
      <c r="R1585" s="26"/>
      <c r="S1585" s="37"/>
    </row>
    <row r="1586" spans="3:19" x14ac:dyDescent="0.2">
      <c r="C1586" s="58"/>
      <c r="D1586" s="59"/>
      <c r="E1586" s="60"/>
      <c r="F1586" s="60"/>
      <c r="G1586" s="61"/>
      <c r="H1586" s="62"/>
      <c r="I1586" s="63"/>
      <c r="J1586" s="63"/>
      <c r="K1586" s="62"/>
      <c r="L1586" s="62"/>
      <c r="M1586" s="62"/>
      <c r="N1586" s="64"/>
      <c r="O1586" s="64"/>
      <c r="P1586" s="65"/>
      <c r="Q1586" s="26"/>
      <c r="R1586" s="26"/>
      <c r="S1586" s="37"/>
    </row>
    <row r="1587" spans="3:19" x14ac:dyDescent="0.2">
      <c r="C1587" s="365" t="s">
        <v>1</v>
      </c>
      <c r="D1587" s="668" t="s">
        <v>2</v>
      </c>
      <c r="E1587" s="669" t="s">
        <v>3</v>
      </c>
      <c r="F1587" s="669" t="s">
        <v>4</v>
      </c>
      <c r="G1587" s="670" t="s">
        <v>5</v>
      </c>
      <c r="H1587" s="669" t="s">
        <v>6</v>
      </c>
      <c r="I1587" s="671" t="s">
        <v>7</v>
      </c>
      <c r="J1587" s="671" t="s">
        <v>8</v>
      </c>
      <c r="K1587" s="672"/>
      <c r="L1587" s="673"/>
      <c r="M1587" s="673" t="s">
        <v>9</v>
      </c>
      <c r="N1587" s="674" t="s">
        <v>10</v>
      </c>
      <c r="O1587" s="674" t="s">
        <v>11</v>
      </c>
      <c r="P1587" s="675"/>
      <c r="Q1587" s="26"/>
      <c r="R1587" s="26"/>
      <c r="S1587" s="37"/>
    </row>
    <row r="1588" spans="3:19" x14ac:dyDescent="0.25">
      <c r="C1588" s="868">
        <v>46</v>
      </c>
      <c r="D1588" s="869" t="s">
        <v>80</v>
      </c>
      <c r="E1588" s="870"/>
      <c r="F1588" s="871"/>
      <c r="G1588" s="32" t="s">
        <v>13</v>
      </c>
      <c r="H1588" s="33">
        <v>46082</v>
      </c>
      <c r="I1588" s="878">
        <v>0.30887731481481479</v>
      </c>
      <c r="J1588" s="896" t="s">
        <v>81</v>
      </c>
      <c r="K1588" s="874"/>
      <c r="L1588" s="874"/>
      <c r="M1588" s="875"/>
      <c r="N1588" s="876"/>
      <c r="O1588" s="876">
        <v>1</v>
      </c>
      <c r="P1588" s="877"/>
      <c r="Q1588" s="26"/>
      <c r="R1588" s="26"/>
      <c r="S1588" s="37"/>
    </row>
    <row r="1589" spans="3:19" x14ac:dyDescent="0.25">
      <c r="C1589" s="868">
        <v>46</v>
      </c>
      <c r="D1589" s="869" t="s">
        <v>80</v>
      </c>
      <c r="E1589" s="870"/>
      <c r="F1589" s="871"/>
      <c r="G1589" s="29" t="s">
        <v>14</v>
      </c>
      <c r="H1589" s="33">
        <v>46083</v>
      </c>
      <c r="I1589" s="878">
        <v>0.27615740740740741</v>
      </c>
      <c r="J1589" s="896"/>
      <c r="K1589" s="874"/>
      <c r="L1589" s="874"/>
      <c r="M1589" s="875"/>
      <c r="N1589" s="876"/>
      <c r="O1589" s="876"/>
      <c r="P1589" s="877"/>
      <c r="Q1589" s="26"/>
      <c r="R1589" s="26"/>
      <c r="S1589" s="37"/>
    </row>
    <row r="1590" spans="3:19" x14ac:dyDescent="0.25">
      <c r="C1590" s="868">
        <v>46</v>
      </c>
      <c r="D1590" s="869" t="s">
        <v>80</v>
      </c>
      <c r="E1590" s="870"/>
      <c r="F1590" s="871"/>
      <c r="G1590" s="39" t="s">
        <v>15</v>
      </c>
      <c r="H1590" s="33">
        <v>46084</v>
      </c>
      <c r="I1590" s="879">
        <v>0.284212962962963</v>
      </c>
      <c r="J1590" s="873">
        <v>0.8547569444444445</v>
      </c>
      <c r="K1590" s="874"/>
      <c r="L1590" s="874"/>
      <c r="M1590" s="875">
        <v>3</v>
      </c>
      <c r="N1590" s="876"/>
      <c r="O1590" s="876"/>
      <c r="P1590" s="877"/>
      <c r="Q1590" s="26"/>
      <c r="R1590" s="26"/>
      <c r="S1590" s="37"/>
    </row>
    <row r="1591" spans="3:19" x14ac:dyDescent="0.25">
      <c r="C1591" s="868">
        <v>46</v>
      </c>
      <c r="D1591" s="869" t="s">
        <v>80</v>
      </c>
      <c r="E1591" s="870"/>
      <c r="F1591" s="871"/>
      <c r="G1591" s="39" t="s">
        <v>16</v>
      </c>
      <c r="H1591" s="33">
        <v>46085</v>
      </c>
      <c r="I1591" s="879">
        <v>0.2786689814814815</v>
      </c>
      <c r="J1591" s="873">
        <v>0.87307870370370377</v>
      </c>
      <c r="K1591" s="874"/>
      <c r="L1591" s="874"/>
      <c r="M1591" s="875">
        <v>3</v>
      </c>
      <c r="N1591" s="876"/>
      <c r="O1591" s="876"/>
      <c r="P1591" s="877"/>
      <c r="Q1591" s="26"/>
      <c r="R1591" s="26"/>
      <c r="S1591" s="37"/>
    </row>
    <row r="1592" spans="3:19" x14ac:dyDescent="0.25">
      <c r="C1592" s="868">
        <v>46</v>
      </c>
      <c r="D1592" s="869" t="s">
        <v>80</v>
      </c>
      <c r="E1592" s="880"/>
      <c r="F1592" s="881"/>
      <c r="G1592" s="39" t="s">
        <v>17</v>
      </c>
      <c r="H1592" s="33">
        <v>46086</v>
      </c>
      <c r="I1592" s="879">
        <v>0.28416666666666668</v>
      </c>
      <c r="J1592" s="873">
        <v>0.85420138888888886</v>
      </c>
      <c r="K1592" s="874"/>
      <c r="L1592" s="874"/>
      <c r="M1592" s="875">
        <v>3</v>
      </c>
      <c r="N1592" s="876"/>
      <c r="O1592" s="876"/>
      <c r="P1592" s="877"/>
      <c r="Q1592" s="26"/>
      <c r="R1592" s="26"/>
      <c r="S1592" s="37"/>
    </row>
    <row r="1593" spans="3:19" x14ac:dyDescent="0.25">
      <c r="C1593" s="868">
        <v>46</v>
      </c>
      <c r="D1593" s="869" t="s">
        <v>80</v>
      </c>
      <c r="E1593" s="880"/>
      <c r="F1593" s="881"/>
      <c r="G1593" s="45" t="s">
        <v>18</v>
      </c>
      <c r="H1593" s="33">
        <v>46087</v>
      </c>
      <c r="I1593" s="879">
        <v>0.28375</v>
      </c>
      <c r="J1593" s="873">
        <v>0.85506944444444455</v>
      </c>
      <c r="K1593" s="874"/>
      <c r="L1593" s="874"/>
      <c r="M1593" s="875">
        <v>3</v>
      </c>
      <c r="N1593" s="876"/>
      <c r="O1593" s="876"/>
      <c r="P1593" s="877"/>
      <c r="Q1593" s="26"/>
      <c r="R1593" s="26"/>
      <c r="S1593" s="37"/>
    </row>
    <row r="1594" spans="3:19" x14ac:dyDescent="0.25">
      <c r="C1594" s="868">
        <v>46</v>
      </c>
      <c r="D1594" s="869" t="s">
        <v>80</v>
      </c>
      <c r="E1594" s="880"/>
      <c r="F1594" s="881"/>
      <c r="G1594" s="39" t="s">
        <v>19</v>
      </c>
      <c r="H1594" s="33">
        <v>46088</v>
      </c>
      <c r="I1594" s="879">
        <v>0.28164351851851849</v>
      </c>
      <c r="J1594" s="873">
        <v>0.66895833333333332</v>
      </c>
      <c r="K1594" s="874"/>
      <c r="L1594" s="874"/>
      <c r="M1594" s="875">
        <v>3</v>
      </c>
      <c r="N1594" s="876"/>
      <c r="O1594" s="876"/>
      <c r="P1594" s="877"/>
      <c r="Q1594" s="26"/>
      <c r="R1594" s="26"/>
      <c r="S1594" s="37"/>
    </row>
    <row r="1595" spans="3:19" x14ac:dyDescent="0.25">
      <c r="C1595" s="868">
        <v>46</v>
      </c>
      <c r="D1595" s="869" t="s">
        <v>80</v>
      </c>
      <c r="E1595" s="880"/>
      <c r="F1595" s="881"/>
      <c r="G1595" s="46" t="s">
        <v>13</v>
      </c>
      <c r="H1595" s="33">
        <v>46089</v>
      </c>
      <c r="I1595" s="872">
        <v>0.28620370370370368</v>
      </c>
      <c r="J1595" s="5">
        <v>0.67817129629629624</v>
      </c>
      <c r="K1595" s="874"/>
      <c r="L1595" s="874"/>
      <c r="M1595" s="875"/>
      <c r="N1595" s="876"/>
      <c r="O1595" s="876">
        <v>1</v>
      </c>
      <c r="P1595" s="877"/>
      <c r="Q1595" s="26"/>
      <c r="R1595" s="26"/>
      <c r="S1595" s="37"/>
    </row>
    <row r="1596" spans="3:19" x14ac:dyDescent="0.25">
      <c r="C1596" s="868">
        <v>46</v>
      </c>
      <c r="D1596" s="869" t="s">
        <v>80</v>
      </c>
      <c r="E1596" s="880"/>
      <c r="F1596" s="881"/>
      <c r="G1596" s="39" t="s">
        <v>14</v>
      </c>
      <c r="H1596" s="33">
        <v>46090</v>
      </c>
      <c r="I1596" s="5">
        <v>0.28480324074074076</v>
      </c>
      <c r="J1596" s="879">
        <v>0.85420138888888886</v>
      </c>
      <c r="K1596" s="874"/>
      <c r="L1596" s="874"/>
      <c r="M1596" s="875">
        <v>3</v>
      </c>
      <c r="N1596" s="876"/>
      <c r="O1596" s="876"/>
      <c r="P1596" s="877"/>
      <c r="Q1596" s="26"/>
      <c r="R1596" s="26"/>
      <c r="S1596" s="37"/>
    </row>
    <row r="1597" spans="3:19" x14ac:dyDescent="0.25">
      <c r="C1597" s="868">
        <v>46</v>
      </c>
      <c r="D1597" s="869" t="s">
        <v>80</v>
      </c>
      <c r="E1597" s="880"/>
      <c r="F1597" s="881"/>
      <c r="G1597" s="39" t="s">
        <v>15</v>
      </c>
      <c r="H1597" s="33">
        <v>46091</v>
      </c>
      <c r="I1597" s="878">
        <v>0.28076388888888887</v>
      </c>
      <c r="J1597" s="873">
        <v>0.85430555555555554</v>
      </c>
      <c r="K1597" s="874"/>
      <c r="L1597" s="874"/>
      <c r="M1597" s="875">
        <v>3</v>
      </c>
      <c r="N1597" s="876"/>
      <c r="O1597" s="876"/>
      <c r="P1597" s="877"/>
      <c r="Q1597" s="26"/>
      <c r="R1597" s="26"/>
      <c r="S1597" s="37"/>
    </row>
    <row r="1598" spans="3:19" x14ac:dyDescent="0.25">
      <c r="C1598" s="868">
        <v>46</v>
      </c>
      <c r="D1598" s="869" t="s">
        <v>80</v>
      </c>
      <c r="E1598" s="870"/>
      <c r="F1598" s="871"/>
      <c r="G1598" s="39" t="s">
        <v>16</v>
      </c>
      <c r="H1598" s="33">
        <v>46092</v>
      </c>
      <c r="I1598" s="879">
        <v>0.27846064814814814</v>
      </c>
      <c r="J1598" s="873">
        <v>0.85467592592592589</v>
      </c>
      <c r="K1598" s="874"/>
      <c r="L1598" s="874"/>
      <c r="M1598" s="875">
        <v>3</v>
      </c>
      <c r="N1598" s="876"/>
      <c r="O1598" s="876"/>
      <c r="P1598" s="877"/>
      <c r="Q1598" s="26"/>
      <c r="R1598" s="26"/>
      <c r="S1598" s="37"/>
    </row>
    <row r="1599" spans="3:19" x14ac:dyDescent="0.25">
      <c r="C1599" s="868">
        <v>46</v>
      </c>
      <c r="D1599" s="869" t="s">
        <v>80</v>
      </c>
      <c r="E1599" s="880"/>
      <c r="F1599" s="881"/>
      <c r="G1599" s="39" t="s">
        <v>17</v>
      </c>
      <c r="H1599" s="33">
        <v>46093</v>
      </c>
      <c r="I1599" s="879">
        <v>0.27561342592592591</v>
      </c>
      <c r="J1599" s="873">
        <v>0.85418981481481471</v>
      </c>
      <c r="K1599" s="874"/>
      <c r="L1599" s="874"/>
      <c r="M1599" s="875">
        <v>3</v>
      </c>
      <c r="N1599" s="876"/>
      <c r="O1599" s="876"/>
      <c r="P1599" s="877"/>
      <c r="Q1599" s="26"/>
      <c r="R1599" s="26"/>
      <c r="S1599" s="37"/>
    </row>
    <row r="1600" spans="3:19" x14ac:dyDescent="0.25">
      <c r="C1600" s="868">
        <v>46</v>
      </c>
      <c r="D1600" s="869" t="s">
        <v>80</v>
      </c>
      <c r="E1600" s="880"/>
      <c r="F1600" s="881"/>
      <c r="G1600" s="48" t="s">
        <v>18</v>
      </c>
      <c r="H1600" s="33">
        <v>46094</v>
      </c>
      <c r="I1600" s="878">
        <v>0.27795138888888887</v>
      </c>
      <c r="J1600" s="873">
        <v>0.8550578703703704</v>
      </c>
      <c r="K1600" s="874"/>
      <c r="L1600" s="874"/>
      <c r="M1600" s="875">
        <v>3</v>
      </c>
      <c r="N1600" s="876"/>
      <c r="O1600" s="876"/>
      <c r="P1600" s="877"/>
      <c r="Q1600" s="26"/>
      <c r="R1600" s="26"/>
      <c r="S1600" s="37"/>
    </row>
    <row r="1601" spans="3:19" x14ac:dyDescent="0.25">
      <c r="C1601" s="868">
        <v>46</v>
      </c>
      <c r="D1601" s="869" t="s">
        <v>80</v>
      </c>
      <c r="E1601" s="880"/>
      <c r="F1601" s="881"/>
      <c r="G1601" s="39" t="s">
        <v>19</v>
      </c>
      <c r="H1601" s="33">
        <v>46095</v>
      </c>
      <c r="I1601" s="879">
        <v>0.33082175925925927</v>
      </c>
      <c r="J1601" s="873"/>
      <c r="K1601" s="874"/>
      <c r="L1601" s="874"/>
      <c r="M1601" s="875"/>
      <c r="N1601" s="876"/>
      <c r="O1601" s="876"/>
      <c r="P1601" s="877"/>
      <c r="Q1601" s="26"/>
      <c r="R1601" s="26"/>
      <c r="S1601" s="37"/>
    </row>
    <row r="1602" spans="3:19" x14ac:dyDescent="0.25">
      <c r="C1602" s="868">
        <v>46</v>
      </c>
      <c r="D1602" s="869" t="s">
        <v>80</v>
      </c>
      <c r="E1602" s="880"/>
      <c r="F1602" s="881"/>
      <c r="G1602" s="46" t="s">
        <v>13</v>
      </c>
      <c r="H1602" s="33">
        <v>46096</v>
      </c>
      <c r="I1602" s="879"/>
      <c r="J1602" s="873"/>
      <c r="K1602" s="874"/>
      <c r="L1602" s="874"/>
      <c r="M1602" s="875"/>
      <c r="N1602" s="876"/>
      <c r="O1602" s="876"/>
      <c r="P1602" s="44"/>
      <c r="Q1602" s="26"/>
      <c r="R1602" s="26"/>
      <c r="S1602" s="37"/>
    </row>
    <row r="1603" spans="3:19" x14ac:dyDescent="0.25">
      <c r="C1603" s="868">
        <v>46</v>
      </c>
      <c r="D1603" s="869" t="s">
        <v>80</v>
      </c>
      <c r="E1603" s="880"/>
      <c r="F1603" s="881"/>
      <c r="G1603" s="39" t="s">
        <v>14</v>
      </c>
      <c r="H1603" s="33">
        <v>46097</v>
      </c>
      <c r="I1603" s="872"/>
      <c r="J1603" s="873"/>
      <c r="K1603" s="874"/>
      <c r="L1603" s="874"/>
      <c r="M1603" s="875"/>
      <c r="N1603" s="876"/>
      <c r="O1603" s="876"/>
      <c r="P1603" s="877"/>
      <c r="Q1603" s="26"/>
      <c r="R1603" s="26"/>
      <c r="S1603" s="37"/>
    </row>
    <row r="1604" spans="3:19" x14ac:dyDescent="0.25">
      <c r="C1604" s="868">
        <v>46</v>
      </c>
      <c r="D1604" s="869" t="s">
        <v>80</v>
      </c>
      <c r="E1604" s="880"/>
      <c r="F1604" s="881"/>
      <c r="G1604" s="39" t="s">
        <v>15</v>
      </c>
      <c r="H1604" s="33">
        <v>46098</v>
      </c>
      <c r="I1604" s="872"/>
      <c r="J1604" s="873"/>
      <c r="K1604" s="874"/>
      <c r="L1604" s="874"/>
      <c r="M1604" s="875"/>
      <c r="N1604" s="876"/>
      <c r="O1604" s="876"/>
      <c r="P1604" s="877"/>
      <c r="Q1604" s="26"/>
      <c r="R1604" s="26"/>
      <c r="S1604" s="37"/>
    </row>
    <row r="1605" spans="3:19" x14ac:dyDescent="0.25">
      <c r="C1605" s="868">
        <v>46</v>
      </c>
      <c r="D1605" s="869" t="s">
        <v>80</v>
      </c>
      <c r="E1605" s="880"/>
      <c r="F1605" s="881"/>
      <c r="G1605" s="39" t="s">
        <v>16</v>
      </c>
      <c r="H1605" s="33">
        <v>46099</v>
      </c>
      <c r="I1605" s="878"/>
      <c r="J1605" s="873"/>
      <c r="K1605" s="874"/>
      <c r="L1605" s="874"/>
      <c r="M1605" s="875"/>
      <c r="N1605" s="876"/>
      <c r="O1605" s="876"/>
      <c r="P1605" s="877"/>
      <c r="Q1605" s="26"/>
      <c r="R1605" s="26"/>
      <c r="S1605" s="37"/>
    </row>
    <row r="1606" spans="3:19" x14ac:dyDescent="0.25">
      <c r="C1606" s="868">
        <v>46</v>
      </c>
      <c r="D1606" s="869" t="s">
        <v>80</v>
      </c>
      <c r="E1606" s="880"/>
      <c r="F1606" s="881"/>
      <c r="G1606" s="39" t="s">
        <v>17</v>
      </c>
      <c r="H1606" s="33">
        <v>46100</v>
      </c>
      <c r="I1606" s="878"/>
      <c r="J1606" s="873"/>
      <c r="K1606" s="874"/>
      <c r="L1606" s="874"/>
      <c r="M1606" s="875"/>
      <c r="N1606" s="876"/>
      <c r="O1606" s="876"/>
      <c r="P1606" s="877"/>
      <c r="Q1606" s="26"/>
      <c r="R1606" s="26"/>
      <c r="S1606" s="37"/>
    </row>
    <row r="1607" spans="3:19" x14ac:dyDescent="0.25">
      <c r="C1607" s="868">
        <v>46</v>
      </c>
      <c r="D1607" s="869" t="s">
        <v>80</v>
      </c>
      <c r="E1607" s="880"/>
      <c r="F1607" s="881"/>
      <c r="G1607" s="39" t="s">
        <v>18</v>
      </c>
      <c r="H1607" s="33">
        <v>46101</v>
      </c>
      <c r="I1607" s="879"/>
      <c r="J1607" s="873"/>
      <c r="K1607" s="874"/>
      <c r="L1607" s="874"/>
      <c r="M1607" s="875"/>
      <c r="N1607" s="876"/>
      <c r="O1607" s="876"/>
      <c r="P1607" s="877"/>
      <c r="Q1607" s="26"/>
      <c r="R1607" s="26"/>
      <c r="S1607" s="37"/>
    </row>
    <row r="1608" spans="3:19" x14ac:dyDescent="0.25">
      <c r="C1608" s="868">
        <v>46</v>
      </c>
      <c r="D1608" s="869" t="s">
        <v>80</v>
      </c>
      <c r="E1608" s="880"/>
      <c r="F1608" s="881"/>
      <c r="G1608" s="39" t="s">
        <v>19</v>
      </c>
      <c r="H1608" s="33">
        <v>46102</v>
      </c>
      <c r="I1608" s="879"/>
      <c r="J1608" s="873"/>
      <c r="K1608" s="874"/>
      <c r="L1608" s="874"/>
      <c r="M1608" s="875"/>
      <c r="N1608" s="876"/>
      <c r="O1608" s="876"/>
      <c r="P1608" s="877"/>
      <c r="Q1608" s="26"/>
      <c r="R1608" s="26"/>
      <c r="S1608" s="37"/>
    </row>
    <row r="1609" spans="3:19" x14ac:dyDescent="0.25">
      <c r="C1609" s="868">
        <v>46</v>
      </c>
      <c r="D1609" s="869" t="s">
        <v>80</v>
      </c>
      <c r="E1609" s="880"/>
      <c r="F1609" s="881"/>
      <c r="G1609" s="46" t="s">
        <v>13</v>
      </c>
      <c r="H1609" s="33">
        <v>46103</v>
      </c>
      <c r="I1609" s="879"/>
      <c r="J1609" s="873"/>
      <c r="K1609" s="874"/>
      <c r="L1609" s="874"/>
      <c r="M1609" s="875"/>
      <c r="N1609" s="876"/>
      <c r="O1609" s="876"/>
      <c r="P1609" s="877"/>
      <c r="Q1609" s="26"/>
      <c r="R1609" s="26"/>
      <c r="S1609" s="37"/>
    </row>
    <row r="1610" spans="3:19" x14ac:dyDescent="0.25">
      <c r="C1610" s="868">
        <v>46</v>
      </c>
      <c r="D1610" s="869" t="s">
        <v>80</v>
      </c>
      <c r="E1610" s="880"/>
      <c r="F1610" s="881"/>
      <c r="G1610" s="39" t="s">
        <v>14</v>
      </c>
      <c r="H1610" s="33">
        <v>46104</v>
      </c>
      <c r="I1610" s="878"/>
      <c r="J1610" s="873"/>
      <c r="K1610" s="874"/>
      <c r="L1610" s="874"/>
      <c r="M1610" s="875"/>
      <c r="N1610" s="876"/>
      <c r="O1610" s="876"/>
      <c r="P1610" s="877"/>
      <c r="Q1610" s="26"/>
      <c r="R1610" s="26"/>
      <c r="S1610" s="37"/>
    </row>
    <row r="1611" spans="3:19" x14ac:dyDescent="0.25">
      <c r="C1611" s="868">
        <v>46</v>
      </c>
      <c r="D1611" s="869" t="s">
        <v>80</v>
      </c>
      <c r="E1611" s="880"/>
      <c r="F1611" s="881"/>
      <c r="G1611" s="39" t="s">
        <v>15</v>
      </c>
      <c r="H1611" s="33">
        <v>46105</v>
      </c>
      <c r="I1611" s="879"/>
      <c r="J1611" s="873"/>
      <c r="K1611" s="874"/>
      <c r="L1611" s="874"/>
      <c r="M1611" s="875"/>
      <c r="N1611" s="876"/>
      <c r="O1611" s="876"/>
      <c r="P1611" s="877"/>
      <c r="Q1611" s="26"/>
      <c r="R1611" s="26"/>
      <c r="S1611" s="37"/>
    </row>
    <row r="1612" spans="3:19" x14ac:dyDescent="0.25">
      <c r="C1612" s="868">
        <v>46</v>
      </c>
      <c r="D1612" s="869" t="s">
        <v>80</v>
      </c>
      <c r="E1612" s="880"/>
      <c r="F1612" s="881"/>
      <c r="G1612" s="39" t="s">
        <v>16</v>
      </c>
      <c r="H1612" s="33">
        <v>46106</v>
      </c>
      <c r="I1612" s="879"/>
      <c r="J1612" s="873"/>
      <c r="K1612" s="874"/>
      <c r="L1612" s="874"/>
      <c r="M1612" s="875"/>
      <c r="N1612" s="876"/>
      <c r="O1612" s="876"/>
      <c r="P1612" s="877"/>
      <c r="Q1612" s="26"/>
      <c r="R1612" s="26"/>
      <c r="S1612" s="37"/>
    </row>
    <row r="1613" spans="3:19" x14ac:dyDescent="0.25">
      <c r="C1613" s="868">
        <v>46</v>
      </c>
      <c r="D1613" s="869" t="s">
        <v>80</v>
      </c>
      <c r="E1613" s="880"/>
      <c r="F1613" s="881"/>
      <c r="G1613" s="39" t="s">
        <v>17</v>
      </c>
      <c r="H1613" s="33">
        <v>46107</v>
      </c>
      <c r="I1613" s="878"/>
      <c r="J1613" s="873"/>
      <c r="K1613" s="874"/>
      <c r="L1613" s="874"/>
      <c r="M1613" s="875"/>
      <c r="N1613" s="876"/>
      <c r="O1613" s="876"/>
      <c r="P1613" s="877"/>
      <c r="Q1613" s="26"/>
      <c r="R1613" s="26"/>
      <c r="S1613" s="37"/>
    </row>
    <row r="1614" spans="3:19" x14ac:dyDescent="0.25">
      <c r="C1614" s="868">
        <v>46</v>
      </c>
      <c r="D1614" s="869" t="s">
        <v>80</v>
      </c>
      <c r="E1614" s="880"/>
      <c r="F1614" s="881"/>
      <c r="G1614" s="39" t="s">
        <v>18</v>
      </c>
      <c r="H1614" s="33">
        <v>46108</v>
      </c>
      <c r="I1614" s="879"/>
      <c r="J1614" s="873"/>
      <c r="K1614" s="874"/>
      <c r="L1614" s="874"/>
      <c r="M1614" s="875"/>
      <c r="N1614" s="876"/>
      <c r="O1614" s="876"/>
      <c r="P1614" s="877"/>
      <c r="Q1614" s="26"/>
      <c r="R1614" s="26"/>
      <c r="S1614" s="37"/>
    </row>
    <row r="1615" spans="3:19" x14ac:dyDescent="0.25">
      <c r="C1615" s="868">
        <v>46</v>
      </c>
      <c r="D1615" s="869" t="s">
        <v>80</v>
      </c>
      <c r="E1615" s="880"/>
      <c r="F1615" s="881"/>
      <c r="G1615" s="39" t="s">
        <v>19</v>
      </c>
      <c r="H1615" s="33">
        <v>46109</v>
      </c>
      <c r="I1615" s="879"/>
      <c r="J1615" s="873"/>
      <c r="K1615" s="874"/>
      <c r="L1615" s="874"/>
      <c r="M1615" s="875"/>
      <c r="N1615" s="876"/>
      <c r="O1615" s="876"/>
      <c r="P1615" s="877"/>
      <c r="Q1615" s="26"/>
      <c r="R1615" s="26"/>
      <c r="S1615" s="37"/>
    </row>
    <row r="1616" spans="3:19" x14ac:dyDescent="0.25">
      <c r="C1616" s="868">
        <v>46</v>
      </c>
      <c r="D1616" s="869" t="s">
        <v>80</v>
      </c>
      <c r="E1616" s="880"/>
      <c r="F1616" s="881"/>
      <c r="G1616" s="46" t="s">
        <v>13</v>
      </c>
      <c r="H1616" s="33">
        <v>46110</v>
      </c>
      <c r="I1616" s="879"/>
      <c r="J1616" s="873"/>
      <c r="K1616" s="874"/>
      <c r="L1616" s="874"/>
      <c r="M1616" s="875"/>
      <c r="N1616" s="876"/>
      <c r="O1616" s="876"/>
      <c r="P1616" s="877"/>
      <c r="Q1616" s="26"/>
      <c r="R1616" s="26"/>
      <c r="S1616" s="37"/>
    </row>
    <row r="1617" spans="3:19" x14ac:dyDescent="0.25">
      <c r="C1617" s="868">
        <v>46</v>
      </c>
      <c r="D1617" s="869" t="s">
        <v>80</v>
      </c>
      <c r="E1617" s="880"/>
      <c r="F1617" s="881"/>
      <c r="G1617" s="39" t="s">
        <v>14</v>
      </c>
      <c r="H1617" s="33">
        <v>46111</v>
      </c>
      <c r="I1617" s="879"/>
      <c r="J1617" s="873"/>
      <c r="K1617" s="874"/>
      <c r="L1617" s="874"/>
      <c r="M1617" s="875"/>
      <c r="N1617" s="876"/>
      <c r="O1617" s="876"/>
      <c r="P1617" s="877"/>
      <c r="Q1617" s="26"/>
      <c r="R1617" s="26"/>
      <c r="S1617" s="37"/>
    </row>
    <row r="1618" spans="3:19" x14ac:dyDescent="0.25">
      <c r="C1618" s="868">
        <v>46</v>
      </c>
      <c r="D1618" s="869" t="s">
        <v>80</v>
      </c>
      <c r="E1618" s="880"/>
      <c r="F1618" s="881"/>
      <c r="G1618" s="39" t="s">
        <v>15</v>
      </c>
      <c r="H1618" s="33">
        <v>46112</v>
      </c>
      <c r="I1618" s="879"/>
      <c r="J1618" s="873"/>
      <c r="K1618" s="874"/>
      <c r="L1618" s="874"/>
      <c r="M1618" s="875"/>
      <c r="N1618" s="876"/>
      <c r="O1618" s="876"/>
      <c r="P1618" s="877"/>
      <c r="Q1618" s="26"/>
      <c r="R1618" s="26"/>
      <c r="S1618" s="37"/>
    </row>
    <row r="1619" spans="3:19" x14ac:dyDescent="0.25">
      <c r="C1619" s="886"/>
      <c r="D1619" s="887"/>
      <c r="E1619" s="888"/>
      <c r="F1619" s="888"/>
      <c r="G1619" s="889"/>
      <c r="H1619" s="890"/>
      <c r="I1619" s="891" t="str">
        <f>D1591</f>
        <v>SYARIEF</v>
      </c>
      <c r="J1619" s="892" t="s">
        <v>20</v>
      </c>
      <c r="K1619" s="893"/>
      <c r="L1619" s="893"/>
      <c r="M1619" s="894">
        <f>SUM(M1588:M1618)</f>
        <v>30</v>
      </c>
      <c r="N1619" s="894">
        <f t="shared" ref="N1619:O1619" si="40">SUM(N1588:N1618)</f>
        <v>0</v>
      </c>
      <c r="O1619" s="894">
        <f t="shared" si="40"/>
        <v>2</v>
      </c>
      <c r="P1619" s="895"/>
      <c r="Q1619" s="26"/>
      <c r="R1619" s="26"/>
      <c r="S1619" s="37"/>
    </row>
    <row r="1620" spans="3:19" x14ac:dyDescent="0.2">
      <c r="C1620" s="897"/>
      <c r="D1620" s="898"/>
      <c r="E1620" s="899"/>
      <c r="F1620" s="899"/>
      <c r="G1620" s="900"/>
      <c r="H1620" s="901"/>
      <c r="I1620" s="902"/>
      <c r="J1620" s="902"/>
      <c r="K1620" s="901"/>
      <c r="L1620" s="901"/>
      <c r="M1620" s="901"/>
      <c r="N1620" s="903"/>
      <c r="O1620" s="903"/>
      <c r="P1620" s="904"/>
      <c r="Q1620" s="26"/>
      <c r="R1620" s="26"/>
      <c r="S1620" s="37"/>
    </row>
    <row r="1621" spans="3:19" x14ac:dyDescent="0.2">
      <c r="C1621" s="58"/>
      <c r="D1621" s="59"/>
      <c r="E1621" s="60"/>
      <c r="F1621" s="60"/>
      <c r="G1621" s="61"/>
      <c r="H1621" s="62"/>
      <c r="I1621" s="63"/>
      <c r="J1621" s="63"/>
      <c r="K1621" s="62"/>
      <c r="L1621" s="62"/>
      <c r="M1621" s="62"/>
      <c r="N1621" s="64"/>
      <c r="O1621" s="64"/>
      <c r="P1621" s="65"/>
      <c r="Q1621" s="26"/>
      <c r="R1621" s="26"/>
      <c r="S1621" s="37"/>
    </row>
    <row r="1622" spans="3:19" x14ac:dyDescent="0.2">
      <c r="C1622" s="365" t="s">
        <v>1</v>
      </c>
      <c r="D1622" s="668" t="s">
        <v>2</v>
      </c>
      <c r="E1622" s="669" t="s">
        <v>3</v>
      </c>
      <c r="F1622" s="669" t="s">
        <v>4</v>
      </c>
      <c r="G1622" s="670" t="s">
        <v>5</v>
      </c>
      <c r="H1622" s="669" t="s">
        <v>6</v>
      </c>
      <c r="I1622" s="671" t="s">
        <v>7</v>
      </c>
      <c r="J1622" s="671" t="s">
        <v>8</v>
      </c>
      <c r="K1622" s="672"/>
      <c r="L1622" s="673"/>
      <c r="M1622" s="673" t="s">
        <v>9</v>
      </c>
      <c r="N1622" s="674" t="s">
        <v>10</v>
      </c>
      <c r="O1622" s="674" t="s">
        <v>11</v>
      </c>
      <c r="P1622" s="675"/>
      <c r="Q1622" s="26"/>
      <c r="R1622" s="26"/>
      <c r="S1622" s="37"/>
    </row>
    <row r="1623" spans="3:19" x14ac:dyDescent="0.25">
      <c r="C1623" s="905">
        <v>47</v>
      </c>
      <c r="D1623" s="906" t="s">
        <v>82</v>
      </c>
      <c r="E1623" s="907"/>
      <c r="F1623" s="908"/>
      <c r="G1623" s="32" t="s">
        <v>13</v>
      </c>
      <c r="H1623" s="33">
        <v>46082</v>
      </c>
      <c r="I1623" s="909"/>
      <c r="J1623" s="910"/>
      <c r="K1623" s="911"/>
      <c r="L1623" s="911"/>
      <c r="M1623" s="912"/>
      <c r="N1623" s="913"/>
      <c r="O1623" s="913"/>
      <c r="P1623" s="914"/>
      <c r="Q1623" s="26"/>
      <c r="R1623" s="26"/>
      <c r="S1623" s="37"/>
    </row>
    <row r="1624" spans="3:19" x14ac:dyDescent="0.25">
      <c r="C1624" s="905">
        <v>47</v>
      </c>
      <c r="D1624" s="906" t="s">
        <v>82</v>
      </c>
      <c r="E1624" s="907"/>
      <c r="F1624" s="908"/>
      <c r="G1624" s="29" t="s">
        <v>14</v>
      </c>
      <c r="H1624" s="33">
        <v>46083</v>
      </c>
      <c r="I1624" s="915">
        <v>0.31680555555555556</v>
      </c>
      <c r="J1624" s="910"/>
      <c r="K1624" s="911"/>
      <c r="L1624" s="911"/>
      <c r="M1624" s="912"/>
      <c r="N1624" s="913"/>
      <c r="O1624" s="913"/>
      <c r="P1624" s="914"/>
      <c r="Q1624" s="26"/>
      <c r="R1624" s="26"/>
      <c r="S1624" s="37"/>
    </row>
    <row r="1625" spans="3:19" x14ac:dyDescent="0.25">
      <c r="C1625" s="905">
        <v>47</v>
      </c>
      <c r="D1625" s="906" t="s">
        <v>82</v>
      </c>
      <c r="E1625" s="907"/>
      <c r="F1625" s="908"/>
      <c r="G1625" s="39" t="s">
        <v>15</v>
      </c>
      <c r="H1625" s="33">
        <v>46084</v>
      </c>
      <c r="I1625" s="916">
        <v>0.31815972222222222</v>
      </c>
      <c r="J1625" s="910">
        <v>0.80607638888888899</v>
      </c>
      <c r="K1625" s="911"/>
      <c r="L1625" s="911"/>
      <c r="M1625" s="912">
        <v>2</v>
      </c>
      <c r="N1625" s="913"/>
      <c r="O1625" s="913"/>
      <c r="P1625" s="914"/>
      <c r="Q1625" s="26"/>
      <c r="R1625" s="26"/>
      <c r="S1625" s="37"/>
    </row>
    <row r="1626" spans="3:19" x14ac:dyDescent="0.25">
      <c r="C1626" s="905">
        <v>47</v>
      </c>
      <c r="D1626" s="906" t="s">
        <v>82</v>
      </c>
      <c r="E1626" s="907"/>
      <c r="F1626" s="908"/>
      <c r="G1626" s="39" t="s">
        <v>16</v>
      </c>
      <c r="H1626" s="33">
        <v>46085</v>
      </c>
      <c r="I1626" s="916">
        <v>0.31612268518518521</v>
      </c>
      <c r="J1626" s="910">
        <v>0.71072916666666675</v>
      </c>
      <c r="K1626" s="911"/>
      <c r="L1626" s="911"/>
      <c r="M1626" s="912"/>
      <c r="N1626" s="913"/>
      <c r="O1626" s="913"/>
      <c r="P1626" s="914"/>
      <c r="Q1626" s="26"/>
      <c r="R1626" s="26"/>
      <c r="S1626" s="37"/>
    </row>
    <row r="1627" spans="3:19" x14ac:dyDescent="0.25">
      <c r="C1627" s="905">
        <v>47</v>
      </c>
      <c r="D1627" s="906" t="s">
        <v>82</v>
      </c>
      <c r="E1627" s="917"/>
      <c r="F1627" s="918"/>
      <c r="G1627" s="39" t="s">
        <v>17</v>
      </c>
      <c r="H1627" s="33">
        <v>46086</v>
      </c>
      <c r="I1627" s="916"/>
      <c r="J1627" s="910"/>
      <c r="K1627" s="911"/>
      <c r="L1627" s="911"/>
      <c r="M1627" s="912"/>
      <c r="N1627" s="913"/>
      <c r="O1627" s="913"/>
      <c r="P1627" s="914" t="s">
        <v>30</v>
      </c>
      <c r="Q1627" s="26"/>
      <c r="R1627" s="26"/>
      <c r="S1627" s="37"/>
    </row>
    <row r="1628" spans="3:19" x14ac:dyDescent="0.25">
      <c r="C1628" s="905">
        <v>47</v>
      </c>
      <c r="D1628" s="906" t="s">
        <v>82</v>
      </c>
      <c r="E1628" s="917"/>
      <c r="F1628" s="918"/>
      <c r="G1628" s="45" t="s">
        <v>18</v>
      </c>
      <c r="H1628" s="33">
        <v>46087</v>
      </c>
      <c r="I1628" s="916">
        <v>0.31578703703703703</v>
      </c>
      <c r="J1628" s="910">
        <v>0.71035879629629628</v>
      </c>
      <c r="K1628" s="911"/>
      <c r="L1628" s="911"/>
      <c r="M1628" s="912"/>
      <c r="N1628" s="913"/>
      <c r="O1628" s="913"/>
      <c r="P1628" s="914"/>
      <c r="Q1628" s="26"/>
      <c r="R1628" s="26"/>
      <c r="S1628" s="37"/>
    </row>
    <row r="1629" spans="3:19" x14ac:dyDescent="0.25">
      <c r="C1629" s="905">
        <v>47</v>
      </c>
      <c r="D1629" s="906" t="s">
        <v>82</v>
      </c>
      <c r="E1629" s="917"/>
      <c r="F1629" s="918"/>
      <c r="G1629" s="39" t="s">
        <v>19</v>
      </c>
      <c r="H1629" s="33">
        <v>46088</v>
      </c>
      <c r="I1629" s="916">
        <v>0.32741898148148146</v>
      </c>
      <c r="J1629" s="910">
        <v>0.54356481481481478</v>
      </c>
      <c r="K1629" s="911"/>
      <c r="L1629" s="911"/>
      <c r="M1629" s="912"/>
      <c r="N1629" s="913"/>
      <c r="O1629" s="913"/>
      <c r="P1629" s="914"/>
      <c r="Q1629" s="26"/>
      <c r="R1629" s="26"/>
      <c r="S1629" s="37"/>
    </row>
    <row r="1630" spans="3:19" x14ac:dyDescent="0.25">
      <c r="C1630" s="905">
        <v>47</v>
      </c>
      <c r="D1630" s="906" t="s">
        <v>82</v>
      </c>
      <c r="E1630" s="917"/>
      <c r="F1630" s="918"/>
      <c r="G1630" s="46" t="s">
        <v>13</v>
      </c>
      <c r="H1630" s="33">
        <v>46089</v>
      </c>
      <c r="I1630" s="909">
        <v>0.32594907407407409</v>
      </c>
      <c r="J1630" s="5">
        <v>0.66719907407407408</v>
      </c>
      <c r="K1630" s="911"/>
      <c r="L1630" s="911"/>
      <c r="M1630" s="912"/>
      <c r="N1630" s="913"/>
      <c r="O1630" s="913"/>
      <c r="P1630" s="914"/>
      <c r="Q1630" s="26"/>
      <c r="R1630" s="26"/>
      <c r="S1630" s="37"/>
    </row>
    <row r="1631" spans="3:19" x14ac:dyDescent="0.25">
      <c r="C1631" s="905">
        <v>47</v>
      </c>
      <c r="D1631" s="906" t="s">
        <v>82</v>
      </c>
      <c r="E1631" s="917"/>
      <c r="F1631" s="918"/>
      <c r="G1631" s="39" t="s">
        <v>14</v>
      </c>
      <c r="H1631" s="33">
        <v>46090</v>
      </c>
      <c r="I1631" s="919">
        <v>0.77930555555555558</v>
      </c>
      <c r="J1631" s="916">
        <v>0.12581018518518519</v>
      </c>
      <c r="K1631" s="911"/>
      <c r="L1631" s="911"/>
      <c r="M1631" s="912"/>
      <c r="N1631" s="913"/>
      <c r="O1631" s="913"/>
      <c r="P1631" s="914"/>
      <c r="Q1631" s="26"/>
      <c r="R1631" s="26"/>
      <c r="S1631" s="37"/>
    </row>
    <row r="1632" spans="3:19" x14ac:dyDescent="0.25">
      <c r="C1632" s="905">
        <v>47</v>
      </c>
      <c r="D1632" s="906" t="s">
        <v>82</v>
      </c>
      <c r="E1632" s="917"/>
      <c r="F1632" s="918"/>
      <c r="G1632" s="39" t="s">
        <v>15</v>
      </c>
      <c r="H1632" s="33">
        <v>46091</v>
      </c>
      <c r="I1632" s="915">
        <v>0.77831018518518524</v>
      </c>
      <c r="J1632" s="910">
        <v>0.12710648148148149</v>
      </c>
      <c r="K1632" s="911"/>
      <c r="L1632" s="911"/>
      <c r="M1632" s="912"/>
      <c r="N1632" s="913"/>
      <c r="O1632" s="913"/>
      <c r="P1632" s="914"/>
      <c r="Q1632" s="26"/>
      <c r="R1632" s="26"/>
      <c r="S1632" s="37"/>
    </row>
    <row r="1633" spans="3:19" x14ac:dyDescent="0.25">
      <c r="C1633" s="905">
        <v>47</v>
      </c>
      <c r="D1633" s="906" t="s">
        <v>82</v>
      </c>
      <c r="E1633" s="917"/>
      <c r="F1633" s="918"/>
      <c r="G1633" s="39" t="s">
        <v>16</v>
      </c>
      <c r="H1633" s="33">
        <v>46092</v>
      </c>
      <c r="I1633" s="916">
        <v>0.69619212962962962</v>
      </c>
      <c r="J1633" s="910">
        <v>5.5706018518518523E-2</v>
      </c>
      <c r="K1633" s="911"/>
      <c r="L1633" s="911"/>
      <c r="M1633" s="912"/>
      <c r="N1633" s="913"/>
      <c r="O1633" s="913"/>
      <c r="P1633" s="914"/>
      <c r="Q1633" s="26"/>
      <c r="R1633" s="26"/>
      <c r="S1633" s="37"/>
    </row>
    <row r="1634" spans="3:19" x14ac:dyDescent="0.25">
      <c r="C1634" s="905">
        <v>47</v>
      </c>
      <c r="D1634" s="906" t="s">
        <v>82</v>
      </c>
      <c r="E1634" s="917"/>
      <c r="F1634" s="918"/>
      <c r="G1634" s="39" t="s">
        <v>17</v>
      </c>
      <c r="H1634" s="33">
        <v>46093</v>
      </c>
      <c r="I1634" s="916">
        <v>0.69700231481481489</v>
      </c>
      <c r="J1634" s="910">
        <v>5.2175925925925924E-2</v>
      </c>
      <c r="K1634" s="911"/>
      <c r="L1634" s="911"/>
      <c r="M1634" s="912"/>
      <c r="N1634" s="913"/>
      <c r="O1634" s="913"/>
      <c r="P1634" s="914"/>
      <c r="Q1634" s="26"/>
      <c r="R1634" s="26"/>
      <c r="S1634" s="37"/>
    </row>
    <row r="1635" spans="3:19" x14ac:dyDescent="0.25">
      <c r="C1635" s="905">
        <v>47</v>
      </c>
      <c r="D1635" s="906" t="s">
        <v>82</v>
      </c>
      <c r="E1635" s="917"/>
      <c r="F1635" s="918"/>
      <c r="G1635" s="48" t="s">
        <v>18</v>
      </c>
      <c r="H1635" s="33">
        <v>46094</v>
      </c>
      <c r="I1635" s="915">
        <v>0.69489583333333327</v>
      </c>
      <c r="J1635" s="910">
        <v>5.2245370370370366E-2</v>
      </c>
      <c r="K1635" s="911"/>
      <c r="L1635" s="911"/>
      <c r="M1635" s="912"/>
      <c r="N1635" s="913"/>
      <c r="O1635" s="913"/>
      <c r="P1635" s="914"/>
      <c r="Q1635" s="26"/>
      <c r="R1635" s="26"/>
      <c r="S1635" s="37"/>
    </row>
    <row r="1636" spans="3:19" x14ac:dyDescent="0.25">
      <c r="C1636" s="905">
        <v>47</v>
      </c>
      <c r="D1636" s="906" t="s">
        <v>82</v>
      </c>
      <c r="E1636" s="907"/>
      <c r="F1636" s="908"/>
      <c r="G1636" s="39" t="s">
        <v>19</v>
      </c>
      <c r="H1636" s="33">
        <v>46095</v>
      </c>
      <c r="I1636" s="916"/>
      <c r="J1636" s="910"/>
      <c r="K1636" s="911"/>
      <c r="L1636" s="911"/>
      <c r="M1636" s="912"/>
      <c r="N1636" s="913"/>
      <c r="O1636" s="913"/>
      <c r="P1636" s="914"/>
      <c r="Q1636" s="26"/>
      <c r="R1636" s="26"/>
      <c r="S1636" s="37"/>
    </row>
    <row r="1637" spans="3:19" x14ac:dyDescent="0.25">
      <c r="C1637" s="905">
        <v>47</v>
      </c>
      <c r="D1637" s="906" t="s">
        <v>82</v>
      </c>
      <c r="E1637" s="917"/>
      <c r="F1637" s="918"/>
      <c r="G1637" s="46" t="s">
        <v>13</v>
      </c>
      <c r="H1637" s="33">
        <v>46096</v>
      </c>
      <c r="I1637" s="916"/>
      <c r="J1637" s="910"/>
      <c r="K1637" s="911"/>
      <c r="L1637" s="911"/>
      <c r="M1637" s="912"/>
      <c r="N1637" s="913"/>
      <c r="O1637" s="913"/>
      <c r="P1637" s="44"/>
      <c r="Q1637" s="26"/>
      <c r="R1637" s="26"/>
      <c r="S1637" s="37"/>
    </row>
    <row r="1638" spans="3:19" x14ac:dyDescent="0.25">
      <c r="C1638" s="905">
        <v>47</v>
      </c>
      <c r="D1638" s="906" t="s">
        <v>82</v>
      </c>
      <c r="E1638" s="917"/>
      <c r="F1638" s="918"/>
      <c r="G1638" s="39" t="s">
        <v>14</v>
      </c>
      <c r="H1638" s="33">
        <v>46097</v>
      </c>
      <c r="I1638" s="909"/>
      <c r="J1638" s="910"/>
      <c r="K1638" s="911"/>
      <c r="L1638" s="911"/>
      <c r="M1638" s="912"/>
      <c r="N1638" s="913"/>
      <c r="O1638" s="913"/>
      <c r="P1638" s="914"/>
      <c r="Q1638" s="26"/>
      <c r="R1638" s="26"/>
      <c r="S1638" s="37"/>
    </row>
    <row r="1639" spans="3:19" x14ac:dyDescent="0.25">
      <c r="C1639" s="905">
        <v>47</v>
      </c>
      <c r="D1639" s="906" t="s">
        <v>82</v>
      </c>
      <c r="E1639" s="917"/>
      <c r="F1639" s="918"/>
      <c r="G1639" s="39" t="s">
        <v>15</v>
      </c>
      <c r="H1639" s="33">
        <v>46098</v>
      </c>
      <c r="I1639" s="909"/>
      <c r="J1639" s="910"/>
      <c r="K1639" s="911"/>
      <c r="L1639" s="911"/>
      <c r="M1639" s="912"/>
      <c r="N1639" s="913"/>
      <c r="O1639" s="913"/>
      <c r="P1639" s="914"/>
      <c r="Q1639" s="26"/>
      <c r="R1639" s="26"/>
      <c r="S1639" s="37"/>
    </row>
    <row r="1640" spans="3:19" x14ac:dyDescent="0.25">
      <c r="C1640" s="905">
        <v>47</v>
      </c>
      <c r="D1640" s="906" t="s">
        <v>82</v>
      </c>
      <c r="E1640" s="917"/>
      <c r="F1640" s="918"/>
      <c r="G1640" s="39" t="s">
        <v>16</v>
      </c>
      <c r="H1640" s="33">
        <v>46099</v>
      </c>
      <c r="I1640" s="915"/>
      <c r="J1640" s="910"/>
      <c r="K1640" s="911"/>
      <c r="L1640" s="911"/>
      <c r="M1640" s="912"/>
      <c r="N1640" s="913"/>
      <c r="O1640" s="913"/>
      <c r="P1640" s="914"/>
      <c r="Q1640" s="26"/>
      <c r="R1640" s="26"/>
      <c r="S1640" s="37"/>
    </row>
    <row r="1641" spans="3:19" x14ac:dyDescent="0.25">
      <c r="C1641" s="905">
        <v>47</v>
      </c>
      <c r="D1641" s="906" t="s">
        <v>82</v>
      </c>
      <c r="E1641" s="917"/>
      <c r="F1641" s="918"/>
      <c r="G1641" s="39" t="s">
        <v>17</v>
      </c>
      <c r="H1641" s="33">
        <v>46100</v>
      </c>
      <c r="I1641" s="915"/>
      <c r="J1641" s="910"/>
      <c r="K1641" s="911"/>
      <c r="L1641" s="911"/>
      <c r="M1641" s="912"/>
      <c r="N1641" s="913"/>
      <c r="O1641" s="913"/>
      <c r="P1641" s="914"/>
      <c r="Q1641" s="26"/>
      <c r="R1641" s="26"/>
      <c r="S1641" s="37"/>
    </row>
    <row r="1642" spans="3:19" x14ac:dyDescent="0.25">
      <c r="C1642" s="905">
        <v>47</v>
      </c>
      <c r="D1642" s="906" t="s">
        <v>82</v>
      </c>
      <c r="E1642" s="917"/>
      <c r="F1642" s="918"/>
      <c r="G1642" s="39" t="s">
        <v>18</v>
      </c>
      <c r="H1642" s="33">
        <v>46101</v>
      </c>
      <c r="I1642" s="916"/>
      <c r="J1642" s="910"/>
      <c r="K1642" s="911"/>
      <c r="L1642" s="911"/>
      <c r="M1642" s="912"/>
      <c r="N1642" s="913"/>
      <c r="O1642" s="913"/>
      <c r="P1642" s="914"/>
      <c r="Q1642" s="26"/>
      <c r="R1642" s="26"/>
      <c r="S1642" s="37"/>
    </row>
    <row r="1643" spans="3:19" x14ac:dyDescent="0.25">
      <c r="C1643" s="905">
        <v>47</v>
      </c>
      <c r="D1643" s="906" t="s">
        <v>82</v>
      </c>
      <c r="E1643" s="917"/>
      <c r="F1643" s="918"/>
      <c r="G1643" s="39" t="s">
        <v>19</v>
      </c>
      <c r="H1643" s="33">
        <v>46102</v>
      </c>
      <c r="I1643" s="916"/>
      <c r="J1643" s="910"/>
      <c r="K1643" s="911"/>
      <c r="L1643" s="911"/>
      <c r="M1643" s="912"/>
      <c r="N1643" s="913"/>
      <c r="O1643" s="913"/>
      <c r="P1643" s="914"/>
      <c r="Q1643" s="26"/>
      <c r="R1643" s="26"/>
      <c r="S1643" s="37"/>
    </row>
    <row r="1644" spans="3:19" x14ac:dyDescent="0.25">
      <c r="C1644" s="905">
        <v>47</v>
      </c>
      <c r="D1644" s="906" t="s">
        <v>82</v>
      </c>
      <c r="E1644" s="917"/>
      <c r="F1644" s="918"/>
      <c r="G1644" s="46" t="s">
        <v>13</v>
      </c>
      <c r="H1644" s="33">
        <v>46103</v>
      </c>
      <c r="I1644" s="916"/>
      <c r="J1644" s="910"/>
      <c r="K1644" s="911"/>
      <c r="L1644" s="911"/>
      <c r="M1644" s="912"/>
      <c r="N1644" s="913"/>
      <c r="O1644" s="913"/>
      <c r="P1644" s="914"/>
      <c r="Q1644" s="26"/>
      <c r="R1644" s="26"/>
      <c r="S1644" s="37"/>
    </row>
    <row r="1645" spans="3:19" x14ac:dyDescent="0.25">
      <c r="C1645" s="905">
        <v>47</v>
      </c>
      <c r="D1645" s="906" t="s">
        <v>82</v>
      </c>
      <c r="E1645" s="917"/>
      <c r="F1645" s="918"/>
      <c r="G1645" s="39" t="s">
        <v>14</v>
      </c>
      <c r="H1645" s="33">
        <v>46104</v>
      </c>
      <c r="I1645" s="915"/>
      <c r="J1645" s="910"/>
      <c r="K1645" s="911"/>
      <c r="L1645" s="911"/>
      <c r="M1645" s="912"/>
      <c r="N1645" s="913"/>
      <c r="O1645" s="913"/>
      <c r="P1645" s="914"/>
      <c r="Q1645" s="26"/>
      <c r="R1645" s="26"/>
      <c r="S1645" s="37"/>
    </row>
    <row r="1646" spans="3:19" x14ac:dyDescent="0.25">
      <c r="C1646" s="905">
        <v>47</v>
      </c>
      <c r="D1646" s="906" t="s">
        <v>82</v>
      </c>
      <c r="E1646" s="917"/>
      <c r="F1646" s="918"/>
      <c r="G1646" s="39" t="s">
        <v>15</v>
      </c>
      <c r="H1646" s="33">
        <v>46105</v>
      </c>
      <c r="I1646" s="916"/>
      <c r="J1646" s="910"/>
      <c r="K1646" s="911"/>
      <c r="L1646" s="911"/>
      <c r="M1646" s="912"/>
      <c r="N1646" s="913"/>
      <c r="O1646" s="913"/>
      <c r="P1646" s="914"/>
      <c r="Q1646" s="26"/>
      <c r="R1646" s="26"/>
      <c r="S1646" s="37"/>
    </row>
    <row r="1647" spans="3:19" x14ac:dyDescent="0.25">
      <c r="C1647" s="905">
        <v>47</v>
      </c>
      <c r="D1647" s="906" t="s">
        <v>82</v>
      </c>
      <c r="E1647" s="917"/>
      <c r="F1647" s="918"/>
      <c r="G1647" s="39" t="s">
        <v>16</v>
      </c>
      <c r="H1647" s="33">
        <v>46106</v>
      </c>
      <c r="I1647" s="916"/>
      <c r="J1647" s="910"/>
      <c r="K1647" s="911"/>
      <c r="L1647" s="911"/>
      <c r="M1647" s="912"/>
      <c r="N1647" s="913"/>
      <c r="O1647" s="913"/>
      <c r="P1647" s="914"/>
      <c r="Q1647" s="26"/>
      <c r="R1647" s="26"/>
      <c r="S1647" s="37"/>
    </row>
    <row r="1648" spans="3:19" x14ac:dyDescent="0.25">
      <c r="C1648" s="905">
        <v>47</v>
      </c>
      <c r="D1648" s="906" t="s">
        <v>82</v>
      </c>
      <c r="E1648" s="917"/>
      <c r="F1648" s="918"/>
      <c r="G1648" s="39" t="s">
        <v>17</v>
      </c>
      <c r="H1648" s="33">
        <v>46107</v>
      </c>
      <c r="I1648" s="915"/>
      <c r="J1648" s="910"/>
      <c r="K1648" s="911"/>
      <c r="L1648" s="911"/>
      <c r="M1648" s="912"/>
      <c r="N1648" s="913"/>
      <c r="O1648" s="913"/>
      <c r="P1648" s="914"/>
      <c r="Q1648" s="26"/>
      <c r="R1648" s="26"/>
      <c r="S1648" s="37"/>
    </row>
    <row r="1649" spans="3:19" x14ac:dyDescent="0.25">
      <c r="C1649" s="905">
        <v>47</v>
      </c>
      <c r="D1649" s="906" t="s">
        <v>82</v>
      </c>
      <c r="E1649" s="917"/>
      <c r="F1649" s="918"/>
      <c r="G1649" s="39" t="s">
        <v>18</v>
      </c>
      <c r="H1649" s="33">
        <v>46108</v>
      </c>
      <c r="I1649" s="916"/>
      <c r="J1649" s="910"/>
      <c r="K1649" s="911"/>
      <c r="L1649" s="911"/>
      <c r="M1649" s="912"/>
      <c r="N1649" s="913"/>
      <c r="O1649" s="913"/>
      <c r="P1649" s="914"/>
      <c r="Q1649" s="26"/>
      <c r="R1649" s="26"/>
      <c r="S1649" s="37"/>
    </row>
    <row r="1650" spans="3:19" x14ac:dyDescent="0.25">
      <c r="C1650" s="905">
        <v>47</v>
      </c>
      <c r="D1650" s="906" t="s">
        <v>82</v>
      </c>
      <c r="E1650" s="917"/>
      <c r="F1650" s="918"/>
      <c r="G1650" s="39" t="s">
        <v>19</v>
      </c>
      <c r="H1650" s="33">
        <v>46109</v>
      </c>
      <c r="I1650" s="916"/>
      <c r="J1650" s="910"/>
      <c r="K1650" s="911"/>
      <c r="L1650" s="911"/>
      <c r="M1650" s="912"/>
      <c r="N1650" s="913"/>
      <c r="O1650" s="913"/>
      <c r="P1650" s="914"/>
      <c r="Q1650" s="26"/>
      <c r="R1650" s="26"/>
      <c r="S1650" s="37"/>
    </row>
    <row r="1651" spans="3:19" x14ac:dyDescent="0.25">
      <c r="C1651" s="905">
        <v>47</v>
      </c>
      <c r="D1651" s="906" t="s">
        <v>82</v>
      </c>
      <c r="E1651" s="917"/>
      <c r="F1651" s="918"/>
      <c r="G1651" s="46" t="s">
        <v>13</v>
      </c>
      <c r="H1651" s="33">
        <v>46110</v>
      </c>
      <c r="I1651" s="916"/>
      <c r="J1651" s="910"/>
      <c r="K1651" s="911"/>
      <c r="L1651" s="911"/>
      <c r="M1651" s="912"/>
      <c r="N1651" s="913"/>
      <c r="O1651" s="913"/>
      <c r="P1651" s="914"/>
      <c r="Q1651" s="26"/>
      <c r="R1651" s="26"/>
      <c r="S1651" s="37"/>
    </row>
    <row r="1652" spans="3:19" x14ac:dyDescent="0.25">
      <c r="C1652" s="905">
        <v>47</v>
      </c>
      <c r="D1652" s="906" t="s">
        <v>82</v>
      </c>
      <c r="E1652" s="917"/>
      <c r="F1652" s="918"/>
      <c r="G1652" s="39" t="s">
        <v>14</v>
      </c>
      <c r="H1652" s="33">
        <v>46111</v>
      </c>
      <c r="I1652" s="916"/>
      <c r="J1652" s="910"/>
      <c r="K1652" s="911"/>
      <c r="L1652" s="911"/>
      <c r="M1652" s="912"/>
      <c r="N1652" s="913"/>
      <c r="O1652" s="913"/>
      <c r="P1652" s="914"/>
      <c r="Q1652" s="26"/>
      <c r="R1652" s="26"/>
      <c r="S1652" s="37"/>
    </row>
    <row r="1653" spans="3:19" x14ac:dyDescent="0.25">
      <c r="C1653" s="905">
        <v>47</v>
      </c>
      <c r="D1653" s="906" t="s">
        <v>82</v>
      </c>
      <c r="E1653" s="917"/>
      <c r="F1653" s="918"/>
      <c r="G1653" s="39" t="s">
        <v>15</v>
      </c>
      <c r="H1653" s="33">
        <v>46112</v>
      </c>
      <c r="I1653" s="916"/>
      <c r="J1653" s="910"/>
      <c r="K1653" s="911"/>
      <c r="L1653" s="911"/>
      <c r="M1653" s="912"/>
      <c r="N1653" s="913"/>
      <c r="O1653" s="913"/>
      <c r="P1653" s="914"/>
      <c r="Q1653" s="26"/>
      <c r="R1653" s="26"/>
      <c r="S1653" s="37"/>
    </row>
    <row r="1654" spans="3:19" x14ac:dyDescent="0.25">
      <c r="C1654" s="920"/>
      <c r="D1654" s="921"/>
      <c r="E1654" s="922"/>
      <c r="F1654" s="922"/>
      <c r="G1654" s="923"/>
      <c r="H1654" s="924"/>
      <c r="I1654" s="925" t="str">
        <f>D1626</f>
        <v>RUDI CNC</v>
      </c>
      <c r="J1654" s="926" t="s">
        <v>20</v>
      </c>
      <c r="K1654" s="927"/>
      <c r="L1654" s="927"/>
      <c r="M1654" s="928">
        <f>SUM(M1623:M1653)</f>
        <v>2</v>
      </c>
      <c r="N1654" s="928">
        <f t="shared" ref="N1654:O1654" si="41">SUM(N1623:N1653)</f>
        <v>0</v>
      </c>
      <c r="O1654" s="928">
        <f t="shared" si="41"/>
        <v>0</v>
      </c>
      <c r="P1654" s="929"/>
      <c r="Q1654" s="26"/>
      <c r="R1654" s="26"/>
      <c r="S1654" s="37"/>
    </row>
    <row r="1655" spans="3:19" x14ac:dyDescent="0.2">
      <c r="C1655" s="930"/>
      <c r="D1655" s="931"/>
      <c r="E1655" s="932"/>
      <c r="F1655" s="932"/>
      <c r="G1655" s="933"/>
      <c r="H1655" s="934"/>
      <c r="I1655" s="935"/>
      <c r="J1655" s="935"/>
      <c r="K1655" s="934"/>
      <c r="L1655" s="934"/>
      <c r="M1655" s="934"/>
      <c r="N1655" s="936"/>
      <c r="O1655" s="936"/>
      <c r="P1655" s="937"/>
      <c r="Q1655" s="26"/>
      <c r="R1655" s="26"/>
      <c r="S1655" s="37"/>
    </row>
    <row r="1656" spans="3:19" x14ac:dyDescent="0.2">
      <c r="C1656" s="58"/>
      <c r="D1656" s="59"/>
      <c r="E1656" s="60"/>
      <c r="F1656" s="60"/>
      <c r="G1656" s="61"/>
      <c r="H1656" s="62"/>
      <c r="I1656" s="63"/>
      <c r="J1656" s="63"/>
      <c r="K1656" s="62"/>
      <c r="L1656" s="62"/>
      <c r="M1656" s="62"/>
      <c r="N1656" s="64"/>
      <c r="O1656" s="64"/>
      <c r="P1656" s="65"/>
      <c r="Q1656" s="26"/>
      <c r="R1656" s="26"/>
      <c r="S1656" s="37"/>
    </row>
    <row r="1657" spans="3:19" x14ac:dyDescent="0.2">
      <c r="C1657" s="365" t="s">
        <v>1</v>
      </c>
      <c r="D1657" s="668" t="s">
        <v>2</v>
      </c>
      <c r="E1657" s="669" t="s">
        <v>3</v>
      </c>
      <c r="F1657" s="669" t="s">
        <v>4</v>
      </c>
      <c r="G1657" s="670" t="s">
        <v>5</v>
      </c>
      <c r="H1657" s="669" t="s">
        <v>6</v>
      </c>
      <c r="I1657" s="671" t="s">
        <v>7</v>
      </c>
      <c r="J1657" s="671" t="s">
        <v>8</v>
      </c>
      <c r="K1657" s="672"/>
      <c r="L1657" s="673"/>
      <c r="M1657" s="673" t="s">
        <v>9</v>
      </c>
      <c r="N1657" s="674" t="s">
        <v>10</v>
      </c>
      <c r="O1657" s="674" t="s">
        <v>11</v>
      </c>
      <c r="P1657" s="675"/>
      <c r="Q1657" s="26"/>
      <c r="R1657" s="26"/>
      <c r="S1657" s="37"/>
    </row>
    <row r="1658" spans="3:19" x14ac:dyDescent="0.25">
      <c r="C1658" s="938">
        <v>48</v>
      </c>
      <c r="D1658" s="939" t="s">
        <v>83</v>
      </c>
      <c r="E1658" s="940"/>
      <c r="F1658" s="941"/>
      <c r="G1658" s="32" t="s">
        <v>13</v>
      </c>
      <c r="H1658" s="33">
        <v>46082</v>
      </c>
      <c r="I1658" s="942"/>
      <c r="J1658" s="943"/>
      <c r="K1658" s="944"/>
      <c r="L1658" s="944"/>
      <c r="M1658" s="945"/>
      <c r="N1658" s="946"/>
      <c r="O1658" s="946"/>
      <c r="P1658" s="947"/>
      <c r="Q1658" s="26"/>
      <c r="R1658" s="26"/>
      <c r="S1658" s="37"/>
    </row>
    <row r="1659" spans="3:19" x14ac:dyDescent="0.25">
      <c r="C1659" s="938">
        <v>48</v>
      </c>
      <c r="D1659" s="939" t="s">
        <v>83</v>
      </c>
      <c r="E1659" s="940"/>
      <c r="F1659" s="941"/>
      <c r="G1659" s="29" t="s">
        <v>14</v>
      </c>
      <c r="H1659" s="33">
        <v>46083</v>
      </c>
      <c r="I1659" s="942"/>
      <c r="J1659" s="943"/>
      <c r="K1659" s="944"/>
      <c r="L1659" s="944"/>
      <c r="M1659" s="945"/>
      <c r="N1659" s="946"/>
      <c r="O1659" s="946"/>
      <c r="P1659" s="947"/>
      <c r="Q1659" s="26"/>
      <c r="R1659" s="26"/>
      <c r="S1659" s="37"/>
    </row>
    <row r="1660" spans="3:19" x14ac:dyDescent="0.25">
      <c r="C1660" s="938">
        <v>48</v>
      </c>
      <c r="D1660" s="939" t="s">
        <v>83</v>
      </c>
      <c r="E1660" s="940"/>
      <c r="F1660" s="941"/>
      <c r="G1660" s="39" t="s">
        <v>15</v>
      </c>
      <c r="H1660" s="33">
        <v>46084</v>
      </c>
      <c r="I1660" s="948"/>
      <c r="J1660" s="943"/>
      <c r="K1660" s="944"/>
      <c r="L1660" s="944"/>
      <c r="M1660" s="945"/>
      <c r="N1660" s="946"/>
      <c r="O1660" s="946"/>
      <c r="P1660" s="947"/>
      <c r="Q1660" s="26"/>
      <c r="R1660" s="26"/>
      <c r="S1660" s="37"/>
    </row>
    <row r="1661" spans="3:19" x14ac:dyDescent="0.25">
      <c r="C1661" s="938">
        <v>48</v>
      </c>
      <c r="D1661" s="939" t="s">
        <v>83</v>
      </c>
      <c r="E1661" s="940"/>
      <c r="F1661" s="941"/>
      <c r="G1661" s="39" t="s">
        <v>16</v>
      </c>
      <c r="H1661" s="33">
        <v>46085</v>
      </c>
      <c r="I1661" s="948"/>
      <c r="J1661" s="943"/>
      <c r="K1661" s="944"/>
      <c r="L1661" s="944"/>
      <c r="M1661" s="945"/>
      <c r="N1661" s="946"/>
      <c r="O1661" s="946"/>
      <c r="P1661" s="947"/>
      <c r="Q1661" s="26"/>
      <c r="R1661" s="26"/>
      <c r="S1661" s="37"/>
    </row>
    <row r="1662" spans="3:19" x14ac:dyDescent="0.25">
      <c r="C1662" s="938">
        <v>48</v>
      </c>
      <c r="D1662" s="939" t="s">
        <v>83</v>
      </c>
      <c r="E1662" s="949"/>
      <c r="F1662" s="950"/>
      <c r="G1662" s="39" t="s">
        <v>17</v>
      </c>
      <c r="H1662" s="33">
        <v>46086</v>
      </c>
      <c r="I1662" s="948"/>
      <c r="J1662" s="943"/>
      <c r="K1662" s="944"/>
      <c r="L1662" s="944"/>
      <c r="M1662" s="945"/>
      <c r="N1662" s="946"/>
      <c r="O1662" s="946"/>
      <c r="P1662" s="947"/>
      <c r="Q1662" s="26"/>
      <c r="R1662" s="26"/>
      <c r="S1662" s="37"/>
    </row>
    <row r="1663" spans="3:19" x14ac:dyDescent="0.25">
      <c r="C1663" s="938">
        <v>48</v>
      </c>
      <c r="D1663" s="939" t="s">
        <v>83</v>
      </c>
      <c r="E1663" s="949"/>
      <c r="F1663" s="950"/>
      <c r="G1663" s="45" t="s">
        <v>18</v>
      </c>
      <c r="H1663" s="33">
        <v>46087</v>
      </c>
      <c r="I1663" s="948"/>
      <c r="J1663" s="943"/>
      <c r="K1663" s="944"/>
      <c r="L1663" s="944"/>
      <c r="M1663" s="945"/>
      <c r="N1663" s="946"/>
      <c r="O1663" s="946"/>
      <c r="P1663" s="947"/>
      <c r="Q1663" s="26"/>
      <c r="R1663" s="26"/>
      <c r="S1663" s="37"/>
    </row>
    <row r="1664" spans="3:19" x14ac:dyDescent="0.25">
      <c r="C1664" s="938">
        <v>48</v>
      </c>
      <c r="D1664" s="939" t="s">
        <v>83</v>
      </c>
      <c r="E1664" s="949"/>
      <c r="F1664" s="950"/>
      <c r="G1664" s="39" t="s">
        <v>19</v>
      </c>
      <c r="H1664" s="33">
        <v>46088</v>
      </c>
      <c r="I1664" s="948"/>
      <c r="J1664" s="943"/>
      <c r="K1664" s="944"/>
      <c r="L1664" s="944"/>
      <c r="M1664" s="945"/>
      <c r="N1664" s="946"/>
      <c r="O1664" s="946"/>
      <c r="P1664" s="947"/>
      <c r="Q1664" s="26"/>
      <c r="R1664" s="26"/>
      <c r="S1664" s="37"/>
    </row>
    <row r="1665" spans="3:19" x14ac:dyDescent="0.25">
      <c r="C1665" s="938">
        <v>48</v>
      </c>
      <c r="D1665" s="939" t="s">
        <v>83</v>
      </c>
      <c r="E1665" s="949"/>
      <c r="F1665" s="950"/>
      <c r="G1665" s="46" t="s">
        <v>13</v>
      </c>
      <c r="H1665" s="33">
        <v>46089</v>
      </c>
      <c r="I1665" s="942"/>
      <c r="K1665" s="944"/>
      <c r="L1665" s="944"/>
      <c r="M1665" s="945"/>
      <c r="N1665" s="946"/>
      <c r="O1665" s="946"/>
      <c r="P1665" s="947"/>
      <c r="Q1665" s="26"/>
      <c r="R1665" s="26"/>
      <c r="S1665" s="37"/>
    </row>
    <row r="1666" spans="3:19" x14ac:dyDescent="0.25">
      <c r="C1666" s="938">
        <v>48</v>
      </c>
      <c r="D1666" s="939" t="s">
        <v>83</v>
      </c>
      <c r="E1666" s="949"/>
      <c r="F1666" s="950"/>
      <c r="G1666" s="39" t="s">
        <v>14</v>
      </c>
      <c r="H1666" s="33">
        <v>46090</v>
      </c>
      <c r="J1666" s="948"/>
      <c r="K1666" s="944"/>
      <c r="L1666" s="944"/>
      <c r="M1666" s="945"/>
      <c r="N1666" s="946"/>
      <c r="O1666" s="946"/>
      <c r="P1666" s="947"/>
      <c r="Q1666" s="26"/>
      <c r="R1666" s="26"/>
      <c r="S1666" s="37"/>
    </row>
    <row r="1667" spans="3:19" x14ac:dyDescent="0.25">
      <c r="C1667" s="938">
        <v>48</v>
      </c>
      <c r="D1667" s="939" t="s">
        <v>83</v>
      </c>
      <c r="E1667" s="949"/>
      <c r="F1667" s="950"/>
      <c r="G1667" s="39" t="s">
        <v>15</v>
      </c>
      <c r="H1667" s="33">
        <v>46091</v>
      </c>
      <c r="I1667" s="942"/>
      <c r="J1667" s="943"/>
      <c r="K1667" s="944"/>
      <c r="L1667" s="944"/>
      <c r="M1667" s="945"/>
      <c r="N1667" s="946"/>
      <c r="O1667" s="946"/>
      <c r="P1667" s="947"/>
      <c r="Q1667" s="26"/>
      <c r="R1667" s="26"/>
      <c r="S1667" s="37"/>
    </row>
    <row r="1668" spans="3:19" x14ac:dyDescent="0.25">
      <c r="C1668" s="938">
        <v>48</v>
      </c>
      <c r="D1668" s="939" t="s">
        <v>83</v>
      </c>
      <c r="E1668" s="949"/>
      <c r="F1668" s="950"/>
      <c r="G1668" s="39" t="s">
        <v>16</v>
      </c>
      <c r="H1668" s="33">
        <v>46092</v>
      </c>
      <c r="I1668" s="948"/>
      <c r="J1668" s="943"/>
      <c r="K1668" s="944"/>
      <c r="L1668" s="944"/>
      <c r="M1668" s="945"/>
      <c r="N1668" s="946"/>
      <c r="O1668" s="946"/>
      <c r="P1668" s="947"/>
      <c r="Q1668" s="26"/>
      <c r="R1668" s="26"/>
      <c r="S1668" s="37"/>
    </row>
    <row r="1669" spans="3:19" x14ac:dyDescent="0.25">
      <c r="C1669" s="938">
        <v>48</v>
      </c>
      <c r="D1669" s="939" t="s">
        <v>83</v>
      </c>
      <c r="E1669" s="940"/>
      <c r="F1669" s="941"/>
      <c r="G1669" s="39" t="s">
        <v>17</v>
      </c>
      <c r="H1669" s="33">
        <v>46093</v>
      </c>
      <c r="I1669" s="948"/>
      <c r="J1669" s="943"/>
      <c r="K1669" s="944"/>
      <c r="L1669" s="944"/>
      <c r="M1669" s="945"/>
      <c r="N1669" s="946"/>
      <c r="O1669" s="946"/>
      <c r="P1669" s="947"/>
      <c r="Q1669" s="26"/>
      <c r="R1669" s="26"/>
      <c r="S1669" s="37"/>
    </row>
    <row r="1670" spans="3:19" x14ac:dyDescent="0.25">
      <c r="C1670" s="938">
        <v>48</v>
      </c>
      <c r="D1670" s="939" t="s">
        <v>83</v>
      </c>
      <c r="E1670" s="949"/>
      <c r="F1670" s="950"/>
      <c r="G1670" s="48" t="s">
        <v>18</v>
      </c>
      <c r="H1670" s="33">
        <v>46094</v>
      </c>
      <c r="I1670" s="942"/>
      <c r="J1670" s="943"/>
      <c r="K1670" s="944"/>
      <c r="L1670" s="944"/>
      <c r="M1670" s="945"/>
      <c r="N1670" s="946"/>
      <c r="O1670" s="946"/>
      <c r="P1670" s="947"/>
      <c r="Q1670" s="26"/>
      <c r="R1670" s="26"/>
      <c r="S1670" s="37"/>
    </row>
    <row r="1671" spans="3:19" x14ac:dyDescent="0.25">
      <c r="C1671" s="938">
        <v>48</v>
      </c>
      <c r="D1671" s="939" t="s">
        <v>83</v>
      </c>
      <c r="E1671" s="949"/>
      <c r="F1671" s="950"/>
      <c r="G1671" s="39" t="s">
        <v>19</v>
      </c>
      <c r="H1671" s="33">
        <v>46095</v>
      </c>
      <c r="I1671" s="948"/>
      <c r="J1671" s="943"/>
      <c r="K1671" s="944"/>
      <c r="L1671" s="944"/>
      <c r="M1671" s="945"/>
      <c r="N1671" s="946"/>
      <c r="O1671" s="946"/>
      <c r="P1671" s="947"/>
      <c r="Q1671" s="26"/>
      <c r="R1671" s="26"/>
      <c r="S1671" s="37"/>
    </row>
    <row r="1672" spans="3:19" x14ac:dyDescent="0.25">
      <c r="C1672" s="938">
        <v>48</v>
      </c>
      <c r="D1672" s="939" t="s">
        <v>83</v>
      </c>
      <c r="E1672" s="949"/>
      <c r="F1672" s="950"/>
      <c r="G1672" s="46" t="s">
        <v>13</v>
      </c>
      <c r="H1672" s="33">
        <v>46096</v>
      </c>
      <c r="I1672" s="948"/>
      <c r="J1672" s="943"/>
      <c r="K1672" s="944"/>
      <c r="L1672" s="944"/>
      <c r="M1672" s="945"/>
      <c r="N1672" s="946"/>
      <c r="O1672" s="946"/>
      <c r="P1672" s="44"/>
      <c r="Q1672" s="26"/>
      <c r="R1672" s="26"/>
      <c r="S1672" s="37"/>
    </row>
    <row r="1673" spans="3:19" x14ac:dyDescent="0.25">
      <c r="C1673" s="938">
        <v>48</v>
      </c>
      <c r="D1673" s="939" t="s">
        <v>83</v>
      </c>
      <c r="E1673" s="949"/>
      <c r="F1673" s="950"/>
      <c r="G1673" s="39" t="s">
        <v>14</v>
      </c>
      <c r="H1673" s="33">
        <v>46097</v>
      </c>
      <c r="I1673" s="942"/>
      <c r="J1673" s="943"/>
      <c r="K1673" s="944"/>
      <c r="L1673" s="944"/>
      <c r="M1673" s="945"/>
      <c r="N1673" s="946"/>
      <c r="O1673" s="946"/>
      <c r="P1673" s="947"/>
      <c r="Q1673" s="26"/>
      <c r="R1673" s="26"/>
      <c r="S1673" s="37"/>
    </row>
    <row r="1674" spans="3:19" x14ac:dyDescent="0.25">
      <c r="C1674" s="938">
        <v>48</v>
      </c>
      <c r="D1674" s="939" t="s">
        <v>83</v>
      </c>
      <c r="E1674" s="949"/>
      <c r="F1674" s="950"/>
      <c r="G1674" s="39" t="s">
        <v>15</v>
      </c>
      <c r="H1674" s="33">
        <v>46098</v>
      </c>
      <c r="I1674" s="942"/>
      <c r="J1674" s="943"/>
      <c r="K1674" s="944"/>
      <c r="L1674" s="944"/>
      <c r="M1674" s="945"/>
      <c r="N1674" s="946"/>
      <c r="O1674" s="946"/>
      <c r="P1674" s="947"/>
      <c r="Q1674" s="26"/>
      <c r="R1674" s="26"/>
      <c r="S1674" s="37"/>
    </row>
    <row r="1675" spans="3:19" x14ac:dyDescent="0.25">
      <c r="C1675" s="938">
        <v>48</v>
      </c>
      <c r="D1675" s="939" t="s">
        <v>83</v>
      </c>
      <c r="E1675" s="949"/>
      <c r="F1675" s="950"/>
      <c r="G1675" s="39" t="s">
        <v>16</v>
      </c>
      <c r="H1675" s="33">
        <v>46099</v>
      </c>
      <c r="I1675" s="951"/>
      <c r="J1675" s="943"/>
      <c r="K1675" s="944"/>
      <c r="L1675" s="944"/>
      <c r="M1675" s="945"/>
      <c r="N1675" s="946"/>
      <c r="O1675" s="946"/>
      <c r="P1675" s="947"/>
      <c r="Q1675" s="26"/>
      <c r="R1675" s="26"/>
      <c r="S1675" s="37"/>
    </row>
    <row r="1676" spans="3:19" x14ac:dyDescent="0.25">
      <c r="C1676" s="938">
        <v>48</v>
      </c>
      <c r="D1676" s="939" t="s">
        <v>83</v>
      </c>
      <c r="E1676" s="949"/>
      <c r="F1676" s="950"/>
      <c r="G1676" s="39" t="s">
        <v>17</v>
      </c>
      <c r="H1676" s="33">
        <v>46100</v>
      </c>
      <c r="I1676" s="951"/>
      <c r="J1676" s="943"/>
      <c r="K1676" s="944"/>
      <c r="L1676" s="944"/>
      <c r="M1676" s="945"/>
      <c r="N1676" s="946"/>
      <c r="O1676" s="946"/>
      <c r="P1676" s="947"/>
      <c r="Q1676" s="26"/>
      <c r="R1676" s="26"/>
      <c r="S1676" s="37"/>
    </row>
    <row r="1677" spans="3:19" x14ac:dyDescent="0.25">
      <c r="C1677" s="938">
        <v>48</v>
      </c>
      <c r="D1677" s="939" t="s">
        <v>83</v>
      </c>
      <c r="E1677" s="949"/>
      <c r="F1677" s="950"/>
      <c r="G1677" s="39" t="s">
        <v>18</v>
      </c>
      <c r="H1677" s="33">
        <v>46101</v>
      </c>
      <c r="I1677" s="948"/>
      <c r="J1677" s="943"/>
      <c r="K1677" s="944"/>
      <c r="L1677" s="944"/>
      <c r="M1677" s="945"/>
      <c r="N1677" s="946"/>
      <c r="O1677" s="946"/>
      <c r="P1677" s="947"/>
      <c r="Q1677" s="26"/>
      <c r="R1677" s="26"/>
      <c r="S1677" s="37"/>
    </row>
    <row r="1678" spans="3:19" x14ac:dyDescent="0.25">
      <c r="C1678" s="938">
        <v>48</v>
      </c>
      <c r="D1678" s="939" t="s">
        <v>83</v>
      </c>
      <c r="E1678" s="949"/>
      <c r="F1678" s="950"/>
      <c r="G1678" s="39" t="s">
        <v>19</v>
      </c>
      <c r="H1678" s="33">
        <v>46102</v>
      </c>
      <c r="I1678" s="948"/>
      <c r="J1678" s="943"/>
      <c r="K1678" s="944"/>
      <c r="L1678" s="944"/>
      <c r="M1678" s="945"/>
      <c r="N1678" s="946"/>
      <c r="O1678" s="946"/>
      <c r="P1678" s="947"/>
      <c r="Q1678" s="26"/>
      <c r="R1678" s="26"/>
      <c r="S1678" s="37"/>
    </row>
    <row r="1679" spans="3:19" x14ac:dyDescent="0.25">
      <c r="C1679" s="938">
        <v>48</v>
      </c>
      <c r="D1679" s="939" t="s">
        <v>83</v>
      </c>
      <c r="E1679" s="949"/>
      <c r="F1679" s="950"/>
      <c r="G1679" s="46" t="s">
        <v>13</v>
      </c>
      <c r="H1679" s="33">
        <v>46103</v>
      </c>
      <c r="I1679" s="948"/>
      <c r="J1679" s="943"/>
      <c r="K1679" s="944"/>
      <c r="L1679" s="944"/>
      <c r="M1679" s="945"/>
      <c r="N1679" s="946"/>
      <c r="O1679" s="946"/>
      <c r="P1679" s="947"/>
      <c r="Q1679" s="26"/>
      <c r="R1679" s="26"/>
      <c r="S1679" s="37"/>
    </row>
    <row r="1680" spans="3:19" x14ac:dyDescent="0.25">
      <c r="C1680" s="938">
        <v>48</v>
      </c>
      <c r="D1680" s="939" t="s">
        <v>83</v>
      </c>
      <c r="E1680" s="949"/>
      <c r="F1680" s="950"/>
      <c r="G1680" s="39" t="s">
        <v>14</v>
      </c>
      <c r="H1680" s="33">
        <v>46104</v>
      </c>
      <c r="I1680" s="951"/>
      <c r="J1680" s="943"/>
      <c r="K1680" s="944"/>
      <c r="L1680" s="944"/>
      <c r="M1680" s="945"/>
      <c r="N1680" s="946"/>
      <c r="O1680" s="946"/>
      <c r="P1680" s="947"/>
      <c r="Q1680" s="26"/>
      <c r="R1680" s="26"/>
      <c r="S1680" s="37"/>
    </row>
    <row r="1681" spans="3:19" x14ac:dyDescent="0.25">
      <c r="C1681" s="938">
        <v>48</v>
      </c>
      <c r="D1681" s="939" t="s">
        <v>83</v>
      </c>
      <c r="E1681" s="949"/>
      <c r="F1681" s="950"/>
      <c r="G1681" s="39" t="s">
        <v>15</v>
      </c>
      <c r="H1681" s="33">
        <v>46105</v>
      </c>
      <c r="I1681" s="948"/>
      <c r="J1681" s="943"/>
      <c r="K1681" s="944"/>
      <c r="L1681" s="944"/>
      <c r="M1681" s="945"/>
      <c r="N1681" s="946"/>
      <c r="O1681" s="946"/>
      <c r="P1681" s="947"/>
      <c r="Q1681" s="26"/>
      <c r="R1681" s="26"/>
      <c r="S1681" s="37"/>
    </row>
    <row r="1682" spans="3:19" x14ac:dyDescent="0.25">
      <c r="C1682" s="938">
        <v>48</v>
      </c>
      <c r="D1682" s="939" t="s">
        <v>83</v>
      </c>
      <c r="E1682" s="949"/>
      <c r="F1682" s="950"/>
      <c r="G1682" s="39" t="s">
        <v>16</v>
      </c>
      <c r="H1682" s="33">
        <v>46106</v>
      </c>
      <c r="I1682" s="948"/>
      <c r="J1682" s="943"/>
      <c r="K1682" s="944"/>
      <c r="L1682" s="944"/>
      <c r="M1682" s="945"/>
      <c r="N1682" s="946"/>
      <c r="O1682" s="946"/>
      <c r="P1682" s="947"/>
      <c r="Q1682" s="26"/>
      <c r="R1682" s="26"/>
      <c r="S1682" s="37"/>
    </row>
    <row r="1683" spans="3:19" x14ac:dyDescent="0.25">
      <c r="C1683" s="938">
        <v>48</v>
      </c>
      <c r="D1683" s="939" t="s">
        <v>83</v>
      </c>
      <c r="E1683" s="949"/>
      <c r="F1683" s="950"/>
      <c r="G1683" s="39" t="s">
        <v>17</v>
      </c>
      <c r="H1683" s="33">
        <v>46107</v>
      </c>
      <c r="I1683" s="951"/>
      <c r="J1683" s="943"/>
      <c r="K1683" s="944"/>
      <c r="L1683" s="944"/>
      <c r="M1683" s="945"/>
      <c r="N1683" s="946"/>
      <c r="O1683" s="946"/>
      <c r="P1683" s="947"/>
      <c r="Q1683" s="26"/>
      <c r="R1683" s="26"/>
      <c r="S1683" s="37"/>
    </row>
    <row r="1684" spans="3:19" x14ac:dyDescent="0.25">
      <c r="C1684" s="938">
        <v>48</v>
      </c>
      <c r="D1684" s="939" t="s">
        <v>83</v>
      </c>
      <c r="E1684" s="949"/>
      <c r="F1684" s="950"/>
      <c r="G1684" s="39" t="s">
        <v>18</v>
      </c>
      <c r="H1684" s="33">
        <v>46108</v>
      </c>
      <c r="I1684" s="948"/>
      <c r="J1684" s="943"/>
      <c r="K1684" s="944"/>
      <c r="L1684" s="944"/>
      <c r="M1684" s="945"/>
      <c r="N1684" s="946"/>
      <c r="O1684" s="946"/>
      <c r="P1684" s="947"/>
      <c r="Q1684" s="26"/>
      <c r="R1684" s="26"/>
      <c r="S1684" s="37"/>
    </row>
    <row r="1685" spans="3:19" x14ac:dyDescent="0.25">
      <c r="C1685" s="938">
        <v>48</v>
      </c>
      <c r="D1685" s="939" t="s">
        <v>83</v>
      </c>
      <c r="E1685" s="949"/>
      <c r="F1685" s="950"/>
      <c r="G1685" s="39" t="s">
        <v>19</v>
      </c>
      <c r="H1685" s="33">
        <v>46109</v>
      </c>
      <c r="I1685" s="948"/>
      <c r="J1685" s="943"/>
      <c r="K1685" s="944"/>
      <c r="L1685" s="944"/>
      <c r="M1685" s="945"/>
      <c r="N1685" s="946"/>
      <c r="O1685" s="946"/>
      <c r="P1685" s="947"/>
      <c r="Q1685" s="26"/>
      <c r="R1685" s="26"/>
      <c r="S1685" s="37"/>
    </row>
    <row r="1686" spans="3:19" x14ac:dyDescent="0.25">
      <c r="C1686" s="938">
        <v>48</v>
      </c>
      <c r="D1686" s="939" t="s">
        <v>83</v>
      </c>
      <c r="E1686" s="949"/>
      <c r="F1686" s="950"/>
      <c r="G1686" s="46" t="s">
        <v>13</v>
      </c>
      <c r="H1686" s="33">
        <v>46110</v>
      </c>
      <c r="I1686" s="948"/>
      <c r="J1686" s="943"/>
      <c r="K1686" s="944"/>
      <c r="L1686" s="944"/>
      <c r="M1686" s="945"/>
      <c r="N1686" s="946"/>
      <c r="O1686" s="946"/>
      <c r="P1686" s="947"/>
      <c r="Q1686" s="26"/>
      <c r="R1686" s="26"/>
      <c r="S1686" s="37"/>
    </row>
    <row r="1687" spans="3:19" x14ac:dyDescent="0.25">
      <c r="C1687" s="938">
        <v>48</v>
      </c>
      <c r="D1687" s="939" t="s">
        <v>83</v>
      </c>
      <c r="E1687" s="949"/>
      <c r="F1687" s="950"/>
      <c r="G1687" s="39" t="s">
        <v>14</v>
      </c>
      <c r="H1687" s="33">
        <v>46111</v>
      </c>
      <c r="I1687" s="948"/>
      <c r="J1687" s="943"/>
      <c r="K1687" s="944"/>
      <c r="L1687" s="944"/>
      <c r="M1687" s="945"/>
      <c r="N1687" s="946"/>
      <c r="O1687" s="946"/>
      <c r="P1687" s="947"/>
      <c r="Q1687" s="26"/>
      <c r="R1687" s="26"/>
      <c r="S1687" s="37"/>
    </row>
    <row r="1688" spans="3:19" x14ac:dyDescent="0.25">
      <c r="C1688" s="938">
        <v>48</v>
      </c>
      <c r="D1688" s="939" t="s">
        <v>83</v>
      </c>
      <c r="E1688" s="949"/>
      <c r="F1688" s="950"/>
      <c r="G1688" s="39" t="s">
        <v>15</v>
      </c>
      <c r="H1688" s="33">
        <v>46112</v>
      </c>
      <c r="I1688" s="948"/>
      <c r="J1688" s="943"/>
      <c r="K1688" s="944"/>
      <c r="L1688" s="944"/>
      <c r="M1688" s="945"/>
      <c r="N1688" s="946"/>
      <c r="O1688" s="946"/>
      <c r="P1688" s="947"/>
      <c r="Q1688" s="26"/>
      <c r="R1688" s="26"/>
      <c r="S1688" s="37"/>
    </row>
    <row r="1689" spans="3:19" x14ac:dyDescent="0.25">
      <c r="C1689" s="938">
        <v>48</v>
      </c>
      <c r="D1689" s="939" t="s">
        <v>83</v>
      </c>
      <c r="E1689" s="949"/>
      <c r="F1689" s="950"/>
      <c r="G1689" s="39" t="s">
        <v>16</v>
      </c>
      <c r="H1689" s="33">
        <v>46324</v>
      </c>
      <c r="I1689" s="952"/>
      <c r="J1689" s="952"/>
      <c r="K1689" s="953"/>
      <c r="L1689" s="953"/>
      <c r="M1689" s="954"/>
      <c r="N1689" s="955"/>
      <c r="O1689" s="955"/>
      <c r="P1689" s="956"/>
      <c r="Q1689" s="26"/>
      <c r="R1689" s="26"/>
      <c r="S1689" s="37"/>
    </row>
    <row r="1690" spans="3:19" x14ac:dyDescent="0.25">
      <c r="C1690" s="938">
        <v>48</v>
      </c>
      <c r="D1690" s="939" t="s">
        <v>83</v>
      </c>
      <c r="E1690" s="949"/>
      <c r="F1690" s="950"/>
      <c r="G1690" s="39" t="s">
        <v>17</v>
      </c>
      <c r="H1690" s="33">
        <v>46325</v>
      </c>
      <c r="I1690" s="952"/>
      <c r="J1690" s="952"/>
      <c r="K1690" s="953"/>
      <c r="L1690" s="953"/>
      <c r="M1690" s="954"/>
      <c r="N1690" s="955"/>
      <c r="O1690" s="955"/>
      <c r="P1690" s="956"/>
      <c r="Q1690" s="26"/>
      <c r="R1690" s="26"/>
      <c r="S1690" s="37"/>
    </row>
    <row r="1691" spans="3:19" x14ac:dyDescent="0.25">
      <c r="C1691" s="938">
        <v>48</v>
      </c>
      <c r="D1691" s="939" t="s">
        <v>83</v>
      </c>
      <c r="E1691" s="949"/>
      <c r="F1691" s="950"/>
      <c r="G1691" s="39" t="s">
        <v>18</v>
      </c>
      <c r="H1691" s="33">
        <v>46326</v>
      </c>
      <c r="I1691" s="952"/>
      <c r="J1691" s="952"/>
      <c r="K1691" s="953"/>
      <c r="L1691" s="953"/>
      <c r="M1691" s="954"/>
      <c r="N1691" s="955"/>
      <c r="O1691" s="955"/>
      <c r="P1691" s="956"/>
      <c r="Q1691" s="26"/>
      <c r="R1691" s="26"/>
      <c r="S1691" s="37"/>
    </row>
    <row r="1692" spans="3:19" x14ac:dyDescent="0.25">
      <c r="C1692" s="957"/>
      <c r="D1692" s="958"/>
      <c r="E1692" s="959"/>
      <c r="F1692" s="959"/>
      <c r="G1692" s="960"/>
      <c r="H1692" s="961"/>
      <c r="I1692" s="962" t="str">
        <f>D1661</f>
        <v>nana</v>
      </c>
      <c r="J1692" s="963" t="s">
        <v>20</v>
      </c>
      <c r="K1692" s="964"/>
      <c r="L1692" s="964"/>
      <c r="M1692" s="965">
        <f>SUM(M1658:M1691)</f>
        <v>0</v>
      </c>
      <c r="N1692" s="965">
        <f t="shared" ref="N1692:O1692" si="42">SUM(N1658:N1691)</f>
        <v>0</v>
      </c>
      <c r="O1692" s="965">
        <f t="shared" si="42"/>
        <v>0</v>
      </c>
      <c r="P1692" s="966"/>
      <c r="Q1692" s="26"/>
      <c r="R1692" s="26"/>
      <c r="S1692" s="37"/>
    </row>
    <row r="1693" spans="3:19" x14ac:dyDescent="0.2">
      <c r="C1693" s="967"/>
      <c r="D1693" s="968"/>
      <c r="E1693" s="969"/>
      <c r="F1693" s="969"/>
      <c r="G1693" s="970"/>
      <c r="H1693" s="971"/>
      <c r="I1693" s="972"/>
      <c r="J1693" s="972"/>
      <c r="K1693" s="971"/>
      <c r="L1693" s="971"/>
      <c r="M1693" s="971"/>
      <c r="N1693" s="973"/>
      <c r="O1693" s="973"/>
      <c r="P1693" s="974"/>
      <c r="Q1693" s="26"/>
      <c r="R1693" s="26"/>
      <c r="S1693" s="37"/>
    </row>
    <row r="1694" spans="3:19" x14ac:dyDescent="0.2">
      <c r="C1694" s="58"/>
      <c r="D1694" s="59"/>
      <c r="E1694" s="60"/>
      <c r="F1694" s="60"/>
      <c r="G1694" s="61"/>
      <c r="H1694" s="62"/>
      <c r="I1694" s="63"/>
      <c r="J1694" s="63"/>
      <c r="K1694" s="62"/>
      <c r="L1694" s="62"/>
      <c r="M1694" s="62"/>
      <c r="N1694" s="64"/>
      <c r="O1694" s="64"/>
      <c r="P1694" s="65"/>
      <c r="Q1694" s="26"/>
      <c r="R1694" s="26"/>
      <c r="S1694" s="37"/>
    </row>
    <row r="1695" spans="3:19" x14ac:dyDescent="0.2">
      <c r="C1695" s="365" t="s">
        <v>1</v>
      </c>
      <c r="D1695" s="668" t="s">
        <v>2</v>
      </c>
      <c r="E1695" s="669" t="s">
        <v>3</v>
      </c>
      <c r="F1695" s="669" t="s">
        <v>4</v>
      </c>
      <c r="G1695" s="670" t="s">
        <v>5</v>
      </c>
      <c r="H1695" s="669" t="s">
        <v>6</v>
      </c>
      <c r="I1695" s="671" t="s">
        <v>7</v>
      </c>
      <c r="J1695" s="671" t="s">
        <v>8</v>
      </c>
      <c r="K1695" s="672"/>
      <c r="L1695" s="673"/>
      <c r="M1695" s="673" t="s">
        <v>9</v>
      </c>
      <c r="N1695" s="674" t="s">
        <v>10</v>
      </c>
      <c r="O1695" s="674" t="s">
        <v>11</v>
      </c>
      <c r="P1695" s="675"/>
      <c r="Q1695" s="26"/>
      <c r="R1695" s="26"/>
      <c r="S1695" s="37"/>
    </row>
    <row r="1696" spans="3:19" x14ac:dyDescent="0.25">
      <c r="C1696" s="975">
        <v>47</v>
      </c>
      <c r="D1696" s="976" t="s">
        <v>84</v>
      </c>
      <c r="E1696" s="977"/>
      <c r="F1696" s="978"/>
      <c r="G1696" s="32" t="s">
        <v>13</v>
      </c>
      <c r="H1696" s="33">
        <v>46082</v>
      </c>
      <c r="I1696" s="979"/>
      <c r="J1696" s="980"/>
      <c r="K1696" s="981"/>
      <c r="L1696" s="981"/>
      <c r="M1696" s="982"/>
      <c r="N1696" s="983"/>
      <c r="O1696" s="983"/>
      <c r="P1696" s="984"/>
      <c r="Q1696" s="26"/>
      <c r="R1696" s="26"/>
      <c r="S1696" s="37"/>
    </row>
    <row r="1697" spans="3:19" x14ac:dyDescent="0.25">
      <c r="C1697" s="975">
        <v>47</v>
      </c>
      <c r="D1697" s="976" t="s">
        <v>84</v>
      </c>
      <c r="E1697" s="977"/>
      <c r="F1697" s="978"/>
      <c r="G1697" s="29" t="s">
        <v>14</v>
      </c>
      <c r="H1697" s="33">
        <v>46083</v>
      </c>
      <c r="I1697" s="979"/>
      <c r="J1697" s="980"/>
      <c r="K1697" s="981"/>
      <c r="L1697" s="981"/>
      <c r="M1697" s="982"/>
      <c r="N1697" s="983"/>
      <c r="O1697" s="983"/>
      <c r="P1697" s="984"/>
      <c r="Q1697" s="26"/>
      <c r="R1697" s="26"/>
      <c r="S1697" s="37"/>
    </row>
    <row r="1698" spans="3:19" x14ac:dyDescent="0.25">
      <c r="C1698" s="975">
        <v>47</v>
      </c>
      <c r="D1698" s="976" t="s">
        <v>84</v>
      </c>
      <c r="E1698" s="977"/>
      <c r="F1698" s="978"/>
      <c r="G1698" s="39" t="s">
        <v>15</v>
      </c>
      <c r="H1698" s="33">
        <v>46084</v>
      </c>
      <c r="I1698" s="985"/>
      <c r="J1698" s="980"/>
      <c r="K1698" s="981"/>
      <c r="L1698" s="981"/>
      <c r="M1698" s="982"/>
      <c r="N1698" s="983"/>
      <c r="O1698" s="983"/>
      <c r="P1698" s="984"/>
      <c r="Q1698" s="26"/>
      <c r="R1698" s="26"/>
      <c r="S1698" s="37"/>
    </row>
    <row r="1699" spans="3:19" x14ac:dyDescent="0.25">
      <c r="C1699" s="975">
        <v>47</v>
      </c>
      <c r="D1699" s="976" t="s">
        <v>84</v>
      </c>
      <c r="E1699" s="977"/>
      <c r="F1699" s="978"/>
      <c r="G1699" s="39" t="s">
        <v>16</v>
      </c>
      <c r="H1699" s="33">
        <v>46085</v>
      </c>
      <c r="I1699" s="985"/>
      <c r="J1699" s="980"/>
      <c r="K1699" s="981"/>
      <c r="L1699" s="981"/>
      <c r="M1699" s="982"/>
      <c r="N1699" s="983"/>
      <c r="O1699" s="983"/>
      <c r="P1699" s="984"/>
      <c r="Q1699" s="26"/>
      <c r="R1699" s="26"/>
      <c r="S1699" s="37"/>
    </row>
    <row r="1700" spans="3:19" x14ac:dyDescent="0.25">
      <c r="C1700" s="975">
        <v>47</v>
      </c>
      <c r="D1700" s="976" t="s">
        <v>84</v>
      </c>
      <c r="E1700" s="986"/>
      <c r="F1700" s="987"/>
      <c r="G1700" s="39" t="s">
        <v>17</v>
      </c>
      <c r="H1700" s="33">
        <v>46086</v>
      </c>
      <c r="I1700" s="985"/>
      <c r="J1700" s="980"/>
      <c r="K1700" s="981"/>
      <c r="L1700" s="981"/>
      <c r="M1700" s="982"/>
      <c r="N1700" s="983"/>
      <c r="O1700" s="983"/>
      <c r="P1700" s="984"/>
      <c r="Q1700" s="26"/>
      <c r="R1700" s="26"/>
      <c r="S1700" s="37"/>
    </row>
    <row r="1701" spans="3:19" x14ac:dyDescent="0.25">
      <c r="C1701" s="975">
        <v>47</v>
      </c>
      <c r="D1701" s="976" t="s">
        <v>84</v>
      </c>
      <c r="E1701" s="986"/>
      <c r="F1701" s="987"/>
      <c r="G1701" s="45" t="s">
        <v>18</v>
      </c>
      <c r="H1701" s="33">
        <v>46087</v>
      </c>
      <c r="I1701" s="985"/>
      <c r="J1701" s="980"/>
      <c r="K1701" s="981"/>
      <c r="L1701" s="981"/>
      <c r="M1701" s="982"/>
      <c r="N1701" s="983"/>
      <c r="O1701" s="983"/>
      <c r="P1701" s="984"/>
      <c r="Q1701" s="26"/>
      <c r="R1701" s="26"/>
      <c r="S1701" s="37"/>
    </row>
    <row r="1702" spans="3:19" x14ac:dyDescent="0.25">
      <c r="C1702" s="975">
        <v>47</v>
      </c>
      <c r="D1702" s="976" t="s">
        <v>84</v>
      </c>
      <c r="E1702" s="986"/>
      <c r="F1702" s="987"/>
      <c r="G1702" s="39" t="s">
        <v>19</v>
      </c>
      <c r="H1702" s="33">
        <v>46088</v>
      </c>
      <c r="I1702" s="985"/>
      <c r="J1702" s="980"/>
      <c r="K1702" s="981"/>
      <c r="L1702" s="981"/>
      <c r="M1702" s="982"/>
      <c r="N1702" s="983"/>
      <c r="O1702" s="983"/>
      <c r="P1702" s="984"/>
      <c r="Q1702" s="26"/>
      <c r="R1702" s="26"/>
      <c r="S1702" s="37"/>
    </row>
    <row r="1703" spans="3:19" x14ac:dyDescent="0.25">
      <c r="C1703" s="975">
        <v>47</v>
      </c>
      <c r="D1703" s="976" t="s">
        <v>84</v>
      </c>
      <c r="E1703" s="986"/>
      <c r="F1703" s="987"/>
      <c r="G1703" s="46" t="s">
        <v>13</v>
      </c>
      <c r="H1703" s="33">
        <v>46089</v>
      </c>
      <c r="I1703" s="979"/>
      <c r="K1703" s="981"/>
      <c r="L1703" s="981"/>
      <c r="M1703" s="982"/>
      <c r="N1703" s="983"/>
      <c r="O1703" s="983"/>
      <c r="P1703" s="984"/>
      <c r="Q1703" s="26"/>
      <c r="R1703" s="26"/>
      <c r="S1703" s="37"/>
    </row>
    <row r="1704" spans="3:19" x14ac:dyDescent="0.25">
      <c r="C1704" s="975">
        <v>47</v>
      </c>
      <c r="D1704" s="976" t="s">
        <v>84</v>
      </c>
      <c r="E1704" s="986"/>
      <c r="F1704" s="987"/>
      <c r="G1704" s="39" t="s">
        <v>14</v>
      </c>
      <c r="H1704" s="33">
        <v>46090</v>
      </c>
      <c r="J1704" s="985"/>
      <c r="K1704" s="981"/>
      <c r="L1704" s="981"/>
      <c r="M1704" s="982"/>
      <c r="N1704" s="983"/>
      <c r="O1704" s="983"/>
      <c r="P1704" s="984"/>
      <c r="Q1704" s="26"/>
      <c r="R1704" s="26"/>
      <c r="S1704" s="37"/>
    </row>
    <row r="1705" spans="3:19" x14ac:dyDescent="0.25">
      <c r="C1705" s="975">
        <v>47</v>
      </c>
      <c r="D1705" s="976" t="s">
        <v>84</v>
      </c>
      <c r="E1705" s="986"/>
      <c r="F1705" s="987"/>
      <c r="G1705" s="39" t="s">
        <v>15</v>
      </c>
      <c r="H1705" s="33">
        <v>46091</v>
      </c>
      <c r="I1705" s="979"/>
      <c r="J1705" s="980"/>
      <c r="K1705" s="981"/>
      <c r="L1705" s="981"/>
      <c r="M1705" s="982"/>
      <c r="N1705" s="983"/>
      <c r="O1705" s="983"/>
      <c r="P1705" s="984"/>
      <c r="Q1705" s="26"/>
      <c r="R1705" s="26"/>
      <c r="S1705" s="37"/>
    </row>
    <row r="1706" spans="3:19" x14ac:dyDescent="0.25">
      <c r="C1706" s="975">
        <v>47</v>
      </c>
      <c r="D1706" s="976" t="s">
        <v>84</v>
      </c>
      <c r="E1706" s="986"/>
      <c r="F1706" s="987"/>
      <c r="G1706" s="39" t="s">
        <v>16</v>
      </c>
      <c r="H1706" s="33">
        <v>46092</v>
      </c>
      <c r="I1706" s="985"/>
      <c r="J1706" s="980"/>
      <c r="K1706" s="981"/>
      <c r="L1706" s="981"/>
      <c r="M1706" s="982"/>
      <c r="N1706" s="983"/>
      <c r="O1706" s="983"/>
      <c r="P1706" s="984"/>
      <c r="Q1706" s="26"/>
      <c r="R1706" s="26"/>
      <c r="S1706" s="37"/>
    </row>
    <row r="1707" spans="3:19" x14ac:dyDescent="0.25">
      <c r="C1707" s="975">
        <v>47</v>
      </c>
      <c r="D1707" s="976" t="s">
        <v>84</v>
      </c>
      <c r="E1707" s="977"/>
      <c r="F1707" s="978"/>
      <c r="G1707" s="39" t="s">
        <v>17</v>
      </c>
      <c r="H1707" s="33">
        <v>46093</v>
      </c>
      <c r="I1707" s="985"/>
      <c r="J1707" s="980"/>
      <c r="K1707" s="981"/>
      <c r="L1707" s="981"/>
      <c r="M1707" s="982"/>
      <c r="N1707" s="983"/>
      <c r="O1707" s="983"/>
      <c r="P1707" s="984"/>
      <c r="Q1707" s="26"/>
      <c r="R1707" s="26"/>
      <c r="S1707" s="37"/>
    </row>
    <row r="1708" spans="3:19" x14ac:dyDescent="0.25">
      <c r="C1708" s="975">
        <v>47</v>
      </c>
      <c r="D1708" s="976" t="s">
        <v>84</v>
      </c>
      <c r="E1708" s="986"/>
      <c r="F1708" s="987"/>
      <c r="G1708" s="48" t="s">
        <v>18</v>
      </c>
      <c r="H1708" s="33">
        <v>46094</v>
      </c>
      <c r="I1708" s="979"/>
      <c r="J1708" s="980"/>
      <c r="K1708" s="981"/>
      <c r="L1708" s="981"/>
      <c r="M1708" s="982"/>
      <c r="N1708" s="983"/>
      <c r="O1708" s="983"/>
      <c r="P1708" s="984"/>
      <c r="Q1708" s="26"/>
      <c r="R1708" s="26"/>
      <c r="S1708" s="37"/>
    </row>
    <row r="1709" spans="3:19" x14ac:dyDescent="0.25">
      <c r="C1709" s="975">
        <v>47</v>
      </c>
      <c r="D1709" s="976" t="s">
        <v>84</v>
      </c>
      <c r="E1709" s="986"/>
      <c r="F1709" s="987"/>
      <c r="G1709" s="39" t="s">
        <v>19</v>
      </c>
      <c r="H1709" s="33">
        <v>46095</v>
      </c>
      <c r="I1709" s="985"/>
      <c r="J1709" s="980"/>
      <c r="K1709" s="981"/>
      <c r="L1709" s="981"/>
      <c r="M1709" s="982"/>
      <c r="N1709" s="983"/>
      <c r="O1709" s="983"/>
      <c r="P1709" s="984"/>
      <c r="Q1709" s="26"/>
      <c r="R1709" s="26"/>
      <c r="S1709" s="37"/>
    </row>
    <row r="1710" spans="3:19" x14ac:dyDescent="0.25">
      <c r="C1710" s="975">
        <v>47</v>
      </c>
      <c r="D1710" s="976" t="s">
        <v>84</v>
      </c>
      <c r="E1710" s="986"/>
      <c r="F1710" s="987"/>
      <c r="G1710" s="46" t="s">
        <v>13</v>
      </c>
      <c r="H1710" s="33">
        <v>46096</v>
      </c>
      <c r="I1710" s="985"/>
      <c r="J1710" s="980"/>
      <c r="K1710" s="981"/>
      <c r="L1710" s="981"/>
      <c r="M1710" s="982"/>
      <c r="N1710" s="983"/>
      <c r="O1710" s="983"/>
      <c r="P1710" s="44"/>
      <c r="Q1710" s="26"/>
      <c r="R1710" s="26"/>
      <c r="S1710" s="37"/>
    </row>
    <row r="1711" spans="3:19" x14ac:dyDescent="0.25">
      <c r="C1711" s="975">
        <v>47</v>
      </c>
      <c r="D1711" s="976" t="s">
        <v>84</v>
      </c>
      <c r="E1711" s="986"/>
      <c r="F1711" s="987"/>
      <c r="G1711" s="39" t="s">
        <v>14</v>
      </c>
      <c r="H1711" s="33">
        <v>46097</v>
      </c>
      <c r="I1711" s="979"/>
      <c r="J1711" s="980"/>
      <c r="K1711" s="981"/>
      <c r="L1711" s="981"/>
      <c r="M1711" s="982"/>
      <c r="N1711" s="983"/>
      <c r="O1711" s="983"/>
      <c r="P1711" s="984"/>
      <c r="Q1711" s="26"/>
      <c r="R1711" s="26"/>
      <c r="S1711" s="37"/>
    </row>
    <row r="1712" spans="3:19" x14ac:dyDescent="0.25">
      <c r="C1712" s="975">
        <v>47</v>
      </c>
      <c r="D1712" s="976" t="s">
        <v>84</v>
      </c>
      <c r="E1712" s="986"/>
      <c r="F1712" s="987"/>
      <c r="G1712" s="39" t="s">
        <v>15</v>
      </c>
      <c r="H1712" s="33">
        <v>46098</v>
      </c>
      <c r="I1712" s="979"/>
      <c r="J1712" s="980"/>
      <c r="K1712" s="981"/>
      <c r="L1712" s="981"/>
      <c r="M1712" s="982"/>
      <c r="N1712" s="983"/>
      <c r="O1712" s="983"/>
      <c r="P1712" s="984"/>
      <c r="Q1712" s="26"/>
      <c r="R1712" s="26"/>
      <c r="S1712" s="37"/>
    </row>
    <row r="1713" spans="3:19" x14ac:dyDescent="0.25">
      <c r="C1713" s="975">
        <v>47</v>
      </c>
      <c r="D1713" s="976" t="s">
        <v>84</v>
      </c>
      <c r="E1713" s="986"/>
      <c r="F1713" s="987"/>
      <c r="G1713" s="39" t="s">
        <v>16</v>
      </c>
      <c r="H1713" s="33">
        <v>46099</v>
      </c>
      <c r="I1713" s="988"/>
      <c r="J1713" s="980"/>
      <c r="K1713" s="981"/>
      <c r="L1713" s="981"/>
      <c r="M1713" s="982"/>
      <c r="N1713" s="983"/>
      <c r="O1713" s="983"/>
      <c r="P1713" s="984"/>
      <c r="Q1713" s="26"/>
      <c r="R1713" s="26"/>
      <c r="S1713" s="37"/>
    </row>
    <row r="1714" spans="3:19" x14ac:dyDescent="0.25">
      <c r="C1714" s="975">
        <v>47</v>
      </c>
      <c r="D1714" s="976" t="s">
        <v>84</v>
      </c>
      <c r="E1714" s="986"/>
      <c r="F1714" s="987"/>
      <c r="G1714" s="39" t="s">
        <v>17</v>
      </c>
      <c r="H1714" s="33">
        <v>46100</v>
      </c>
      <c r="I1714" s="988"/>
      <c r="J1714" s="980"/>
      <c r="K1714" s="981"/>
      <c r="L1714" s="981"/>
      <c r="M1714" s="982"/>
      <c r="N1714" s="983"/>
      <c r="O1714" s="983"/>
      <c r="P1714" s="984"/>
      <c r="Q1714" s="26"/>
      <c r="R1714" s="26"/>
      <c r="S1714" s="37"/>
    </row>
    <row r="1715" spans="3:19" x14ac:dyDescent="0.25">
      <c r="C1715" s="975">
        <v>47</v>
      </c>
      <c r="D1715" s="976" t="s">
        <v>84</v>
      </c>
      <c r="E1715" s="986"/>
      <c r="F1715" s="987"/>
      <c r="G1715" s="39" t="s">
        <v>18</v>
      </c>
      <c r="H1715" s="33">
        <v>46101</v>
      </c>
      <c r="I1715" s="985"/>
      <c r="J1715" s="980"/>
      <c r="K1715" s="981"/>
      <c r="L1715" s="981"/>
      <c r="M1715" s="982"/>
      <c r="N1715" s="983"/>
      <c r="O1715" s="983"/>
      <c r="P1715" s="984"/>
      <c r="Q1715" s="26"/>
      <c r="R1715" s="26"/>
      <c r="S1715" s="37"/>
    </row>
    <row r="1716" spans="3:19" x14ac:dyDescent="0.25">
      <c r="C1716" s="975">
        <v>47</v>
      </c>
      <c r="D1716" s="976" t="s">
        <v>84</v>
      </c>
      <c r="E1716" s="986"/>
      <c r="F1716" s="987"/>
      <c r="G1716" s="39" t="s">
        <v>19</v>
      </c>
      <c r="H1716" s="33">
        <v>46102</v>
      </c>
      <c r="I1716" s="985"/>
      <c r="J1716" s="980"/>
      <c r="K1716" s="981"/>
      <c r="L1716" s="981"/>
      <c r="M1716" s="982"/>
      <c r="N1716" s="983"/>
      <c r="O1716" s="983"/>
      <c r="P1716" s="984"/>
      <c r="Q1716" s="26"/>
      <c r="R1716" s="26"/>
      <c r="S1716" s="37"/>
    </row>
    <row r="1717" spans="3:19" x14ac:dyDescent="0.25">
      <c r="C1717" s="975">
        <v>47</v>
      </c>
      <c r="D1717" s="976" t="s">
        <v>84</v>
      </c>
      <c r="E1717" s="986"/>
      <c r="F1717" s="987"/>
      <c r="G1717" s="46" t="s">
        <v>13</v>
      </c>
      <c r="H1717" s="33">
        <v>46103</v>
      </c>
      <c r="I1717" s="985"/>
      <c r="J1717" s="980"/>
      <c r="K1717" s="981"/>
      <c r="L1717" s="981"/>
      <c r="M1717" s="982"/>
      <c r="N1717" s="983"/>
      <c r="O1717" s="983"/>
      <c r="P1717" s="984"/>
      <c r="Q1717" s="26"/>
      <c r="R1717" s="26"/>
      <c r="S1717" s="37"/>
    </row>
    <row r="1718" spans="3:19" x14ac:dyDescent="0.25">
      <c r="C1718" s="975">
        <v>47</v>
      </c>
      <c r="D1718" s="976" t="s">
        <v>84</v>
      </c>
      <c r="E1718" s="986"/>
      <c r="F1718" s="987"/>
      <c r="G1718" s="39" t="s">
        <v>14</v>
      </c>
      <c r="H1718" s="33">
        <v>46104</v>
      </c>
      <c r="I1718" s="988"/>
      <c r="J1718" s="980"/>
      <c r="K1718" s="981"/>
      <c r="L1718" s="981"/>
      <c r="M1718" s="982"/>
      <c r="N1718" s="983"/>
      <c r="O1718" s="983"/>
      <c r="P1718" s="984"/>
      <c r="Q1718" s="26"/>
      <c r="R1718" s="26"/>
      <c r="S1718" s="37"/>
    </row>
    <row r="1719" spans="3:19" x14ac:dyDescent="0.25">
      <c r="C1719" s="975">
        <v>47</v>
      </c>
      <c r="D1719" s="976" t="s">
        <v>84</v>
      </c>
      <c r="E1719" s="986"/>
      <c r="F1719" s="987"/>
      <c r="G1719" s="39" t="s">
        <v>15</v>
      </c>
      <c r="H1719" s="33">
        <v>46105</v>
      </c>
      <c r="I1719" s="985"/>
      <c r="J1719" s="980"/>
      <c r="K1719" s="981"/>
      <c r="L1719" s="981"/>
      <c r="M1719" s="982"/>
      <c r="N1719" s="983"/>
      <c r="O1719" s="983"/>
      <c r="P1719" s="984"/>
      <c r="Q1719" s="26"/>
      <c r="R1719" s="26"/>
      <c r="S1719" s="37"/>
    </row>
    <row r="1720" spans="3:19" x14ac:dyDescent="0.25">
      <c r="C1720" s="975">
        <v>47</v>
      </c>
      <c r="D1720" s="976" t="s">
        <v>84</v>
      </c>
      <c r="E1720" s="986"/>
      <c r="F1720" s="987"/>
      <c r="G1720" s="39" t="s">
        <v>16</v>
      </c>
      <c r="H1720" s="33">
        <v>46106</v>
      </c>
      <c r="I1720" s="985"/>
      <c r="J1720" s="980"/>
      <c r="K1720" s="981"/>
      <c r="L1720" s="981"/>
      <c r="M1720" s="982"/>
      <c r="N1720" s="983"/>
      <c r="O1720" s="983"/>
      <c r="P1720" s="984"/>
      <c r="Q1720" s="26"/>
      <c r="R1720" s="26"/>
      <c r="S1720" s="37"/>
    </row>
    <row r="1721" spans="3:19" x14ac:dyDescent="0.25">
      <c r="C1721" s="975">
        <v>47</v>
      </c>
      <c r="D1721" s="976" t="s">
        <v>84</v>
      </c>
      <c r="E1721" s="986"/>
      <c r="F1721" s="987"/>
      <c r="G1721" s="39" t="s">
        <v>17</v>
      </c>
      <c r="H1721" s="33">
        <v>46107</v>
      </c>
      <c r="I1721" s="988"/>
      <c r="J1721" s="980"/>
      <c r="K1721" s="981"/>
      <c r="L1721" s="981"/>
      <c r="M1721" s="982"/>
      <c r="N1721" s="983"/>
      <c r="O1721" s="983"/>
      <c r="P1721" s="984"/>
      <c r="Q1721" s="26"/>
      <c r="R1721" s="26"/>
      <c r="S1721" s="37"/>
    </row>
    <row r="1722" spans="3:19" x14ac:dyDescent="0.25">
      <c r="C1722" s="975">
        <v>47</v>
      </c>
      <c r="D1722" s="976" t="s">
        <v>84</v>
      </c>
      <c r="E1722" s="986"/>
      <c r="F1722" s="987"/>
      <c r="G1722" s="39" t="s">
        <v>18</v>
      </c>
      <c r="H1722" s="33">
        <v>46108</v>
      </c>
      <c r="I1722" s="985"/>
      <c r="J1722" s="980"/>
      <c r="K1722" s="981"/>
      <c r="L1722" s="981"/>
      <c r="M1722" s="982"/>
      <c r="N1722" s="983"/>
      <c r="O1722" s="983"/>
      <c r="P1722" s="984"/>
      <c r="Q1722" s="26"/>
      <c r="R1722" s="26"/>
      <c r="S1722" s="37"/>
    </row>
    <row r="1723" spans="3:19" x14ac:dyDescent="0.25">
      <c r="C1723" s="975">
        <v>47</v>
      </c>
      <c r="D1723" s="976" t="s">
        <v>84</v>
      </c>
      <c r="E1723" s="986"/>
      <c r="F1723" s="987"/>
      <c r="G1723" s="39" t="s">
        <v>19</v>
      </c>
      <c r="H1723" s="33">
        <v>46109</v>
      </c>
      <c r="I1723" s="985"/>
      <c r="J1723" s="980"/>
      <c r="K1723" s="981"/>
      <c r="L1723" s="981"/>
      <c r="M1723" s="982"/>
      <c r="N1723" s="983"/>
      <c r="O1723" s="983"/>
      <c r="P1723" s="984"/>
      <c r="Q1723" s="26"/>
      <c r="R1723" s="26"/>
      <c r="S1723" s="37"/>
    </row>
    <row r="1724" spans="3:19" x14ac:dyDescent="0.25">
      <c r="C1724" s="975">
        <v>47</v>
      </c>
      <c r="D1724" s="976" t="s">
        <v>84</v>
      </c>
      <c r="E1724" s="986"/>
      <c r="F1724" s="987"/>
      <c r="G1724" s="46" t="s">
        <v>13</v>
      </c>
      <c r="H1724" s="33">
        <v>46110</v>
      </c>
      <c r="I1724" s="985"/>
      <c r="J1724" s="980"/>
      <c r="K1724" s="981"/>
      <c r="L1724" s="981"/>
      <c r="M1724" s="982"/>
      <c r="N1724" s="983"/>
      <c r="O1724" s="983"/>
      <c r="P1724" s="984"/>
      <c r="Q1724" s="26"/>
      <c r="R1724" s="26"/>
      <c r="S1724" s="37"/>
    </row>
    <row r="1725" spans="3:19" x14ac:dyDescent="0.25">
      <c r="C1725" s="975">
        <v>47</v>
      </c>
      <c r="D1725" s="976" t="s">
        <v>84</v>
      </c>
      <c r="E1725" s="986"/>
      <c r="F1725" s="987"/>
      <c r="G1725" s="39" t="s">
        <v>14</v>
      </c>
      <c r="H1725" s="33">
        <v>46111</v>
      </c>
      <c r="I1725" s="985"/>
      <c r="J1725" s="980"/>
      <c r="K1725" s="981"/>
      <c r="L1725" s="981"/>
      <c r="M1725" s="982"/>
      <c r="N1725" s="983"/>
      <c r="O1725" s="983"/>
      <c r="P1725" s="984"/>
      <c r="Q1725" s="26"/>
      <c r="R1725" s="26"/>
      <c r="S1725" s="37"/>
    </row>
    <row r="1726" spans="3:19" x14ac:dyDescent="0.25">
      <c r="C1726" s="975">
        <v>47</v>
      </c>
      <c r="D1726" s="976" t="s">
        <v>84</v>
      </c>
      <c r="E1726" s="986"/>
      <c r="F1726" s="987"/>
      <c r="G1726" s="39" t="s">
        <v>15</v>
      </c>
      <c r="H1726" s="33">
        <v>46112</v>
      </c>
      <c r="I1726" s="985"/>
      <c r="J1726" s="980"/>
      <c r="K1726" s="981"/>
      <c r="L1726" s="981"/>
      <c r="M1726" s="982"/>
      <c r="N1726" s="983"/>
      <c r="O1726" s="983"/>
      <c r="P1726" s="984"/>
      <c r="Q1726" s="26"/>
      <c r="R1726" s="26"/>
      <c r="S1726" s="37"/>
    </row>
    <row r="1727" spans="3:19" x14ac:dyDescent="0.25">
      <c r="C1727" s="975">
        <v>47</v>
      </c>
      <c r="D1727" s="976" t="s">
        <v>84</v>
      </c>
      <c r="E1727" s="986"/>
      <c r="F1727" s="987"/>
      <c r="G1727" s="39" t="s">
        <v>16</v>
      </c>
      <c r="H1727" s="33">
        <v>46324</v>
      </c>
      <c r="I1727" s="989"/>
      <c r="J1727" s="989"/>
      <c r="K1727" s="990"/>
      <c r="L1727" s="990"/>
      <c r="M1727" s="991"/>
      <c r="N1727" s="992"/>
      <c r="O1727" s="992"/>
      <c r="P1727" s="993"/>
      <c r="Q1727" s="26"/>
      <c r="R1727" s="26"/>
      <c r="S1727" s="37"/>
    </row>
    <row r="1728" spans="3:19" x14ac:dyDescent="0.25">
      <c r="C1728" s="975">
        <v>47</v>
      </c>
      <c r="D1728" s="976" t="s">
        <v>84</v>
      </c>
      <c r="E1728" s="986"/>
      <c r="F1728" s="987"/>
      <c r="G1728" s="39" t="s">
        <v>17</v>
      </c>
      <c r="H1728" s="33">
        <v>46325</v>
      </c>
      <c r="I1728" s="989"/>
      <c r="J1728" s="989"/>
      <c r="K1728" s="990"/>
      <c r="L1728" s="990"/>
      <c r="M1728" s="991"/>
      <c r="N1728" s="992"/>
      <c r="O1728" s="992"/>
      <c r="P1728" s="993"/>
      <c r="Q1728" s="26"/>
      <c r="R1728" s="26"/>
      <c r="S1728" s="37"/>
    </row>
    <row r="1729" spans="3:19" x14ac:dyDescent="0.25">
      <c r="C1729" s="975">
        <v>47</v>
      </c>
      <c r="D1729" s="976" t="s">
        <v>84</v>
      </c>
      <c r="E1729" s="986"/>
      <c r="F1729" s="987"/>
      <c r="G1729" s="39" t="s">
        <v>18</v>
      </c>
      <c r="H1729" s="33">
        <v>46326</v>
      </c>
      <c r="I1729" s="989"/>
      <c r="J1729" s="989"/>
      <c r="K1729" s="990"/>
      <c r="L1729" s="990"/>
      <c r="M1729" s="991"/>
      <c r="N1729" s="992"/>
      <c r="O1729" s="992"/>
      <c r="P1729" s="993"/>
      <c r="Q1729" s="26"/>
      <c r="R1729" s="26"/>
      <c r="S1729" s="37"/>
    </row>
    <row r="1730" spans="3:19" x14ac:dyDescent="0.25">
      <c r="C1730" s="994"/>
      <c r="D1730" s="995"/>
      <c r="E1730" s="996"/>
      <c r="F1730" s="996"/>
      <c r="G1730" s="997"/>
      <c r="H1730" s="998"/>
      <c r="I1730" s="999" t="str">
        <f>D1699</f>
        <v>TYO</v>
      </c>
      <c r="J1730" s="1000" t="s">
        <v>20</v>
      </c>
      <c r="K1730" s="1001"/>
      <c r="L1730" s="1001"/>
      <c r="M1730" s="1002">
        <f>SUM(M1696:M1729)</f>
        <v>0</v>
      </c>
      <c r="N1730" s="1002">
        <f t="shared" ref="N1730:O1730" si="43">SUM(N1696:N1729)</f>
        <v>0</v>
      </c>
      <c r="O1730" s="1002">
        <f t="shared" si="43"/>
        <v>0</v>
      </c>
      <c r="P1730" s="1003"/>
      <c r="Q1730" s="26"/>
      <c r="R1730" s="26"/>
      <c r="S1730" s="37"/>
    </row>
    <row r="1731" spans="3:19" x14ac:dyDescent="0.2">
      <c r="C1731" s="1004"/>
      <c r="D1731" s="1005"/>
      <c r="E1731" s="1006"/>
      <c r="F1731" s="1006"/>
      <c r="G1731" s="1007"/>
      <c r="H1731" s="1008"/>
      <c r="I1731" s="1009"/>
      <c r="J1731" s="1009"/>
      <c r="K1731" s="1008"/>
      <c r="L1731" s="1008"/>
      <c r="M1731" s="1008"/>
      <c r="N1731" s="1010"/>
      <c r="O1731" s="1010"/>
      <c r="P1731" s="1011"/>
      <c r="Q1731" s="26"/>
      <c r="R1731" s="26"/>
      <c r="S1731" s="37"/>
    </row>
    <row r="1732" spans="3:19" x14ac:dyDescent="0.2">
      <c r="C1732" s="58"/>
      <c r="D1732" s="59"/>
      <c r="E1732" s="60"/>
      <c r="F1732" s="60"/>
      <c r="G1732" s="61"/>
      <c r="H1732" s="62"/>
      <c r="I1732" s="63"/>
      <c r="J1732" s="63"/>
      <c r="K1732" s="62"/>
      <c r="L1732" s="62"/>
      <c r="M1732" s="62"/>
      <c r="N1732" s="64"/>
      <c r="O1732" s="64"/>
      <c r="P1732" s="65"/>
      <c r="Q1732" s="26"/>
      <c r="R1732" s="26"/>
      <c r="S1732" s="37"/>
    </row>
    <row r="1733" spans="3:19" x14ac:dyDescent="0.2">
      <c r="C1733" s="365" t="s">
        <v>1</v>
      </c>
      <c r="D1733" s="668" t="s">
        <v>2</v>
      </c>
      <c r="E1733" s="669" t="s">
        <v>3</v>
      </c>
      <c r="F1733" s="669" t="s">
        <v>4</v>
      </c>
      <c r="G1733" s="670" t="s">
        <v>5</v>
      </c>
      <c r="H1733" s="669" t="s">
        <v>6</v>
      </c>
      <c r="I1733" s="671" t="s">
        <v>7</v>
      </c>
      <c r="J1733" s="671" t="s">
        <v>8</v>
      </c>
      <c r="K1733" s="672"/>
      <c r="L1733" s="673"/>
      <c r="M1733" s="673" t="s">
        <v>9</v>
      </c>
      <c r="N1733" s="674" t="s">
        <v>10</v>
      </c>
      <c r="O1733" s="674" t="s">
        <v>11</v>
      </c>
      <c r="P1733" s="675"/>
      <c r="Q1733" s="26"/>
      <c r="R1733" s="26"/>
      <c r="S1733" s="37"/>
    </row>
    <row r="1734" spans="3:19" x14ac:dyDescent="0.25">
      <c r="C1734" s="1012">
        <v>47</v>
      </c>
      <c r="D1734" s="1013" t="s">
        <v>85</v>
      </c>
      <c r="E1734" s="1014"/>
      <c r="F1734" s="1015"/>
      <c r="G1734" s="32" t="s">
        <v>13</v>
      </c>
      <c r="H1734" s="33">
        <v>46082</v>
      </c>
      <c r="I1734" s="1016"/>
      <c r="J1734" s="1017"/>
      <c r="K1734" s="1018"/>
      <c r="L1734" s="1018"/>
      <c r="M1734" s="1019"/>
      <c r="N1734" s="1020"/>
      <c r="O1734" s="1020"/>
      <c r="P1734" s="1021"/>
      <c r="Q1734" s="26"/>
      <c r="R1734" s="26"/>
      <c r="S1734" s="37"/>
    </row>
    <row r="1735" spans="3:19" x14ac:dyDescent="0.25">
      <c r="C1735" s="1012">
        <v>47</v>
      </c>
      <c r="D1735" s="1013" t="s">
        <v>85</v>
      </c>
      <c r="E1735" s="1014"/>
      <c r="F1735" s="1015"/>
      <c r="G1735" s="29" t="s">
        <v>14</v>
      </c>
      <c r="H1735" s="33">
        <v>46083</v>
      </c>
      <c r="I1735" s="1016"/>
      <c r="J1735" s="1017"/>
      <c r="K1735" s="1018"/>
      <c r="L1735" s="1018"/>
      <c r="M1735" s="1019"/>
      <c r="N1735" s="1020"/>
      <c r="O1735" s="1020"/>
      <c r="P1735" s="1021"/>
      <c r="Q1735" s="26"/>
      <c r="R1735" s="26"/>
      <c r="S1735" s="37"/>
    </row>
    <row r="1736" spans="3:19" x14ac:dyDescent="0.25">
      <c r="C1736" s="1012">
        <v>47</v>
      </c>
      <c r="D1736" s="1013" t="s">
        <v>85</v>
      </c>
      <c r="E1736" s="1014"/>
      <c r="F1736" s="1015"/>
      <c r="G1736" s="39" t="s">
        <v>15</v>
      </c>
      <c r="H1736" s="33">
        <v>46084</v>
      </c>
      <c r="I1736" s="1022"/>
      <c r="J1736" s="1017"/>
      <c r="K1736" s="1018"/>
      <c r="L1736" s="1018"/>
      <c r="M1736" s="1019"/>
      <c r="N1736" s="1020"/>
      <c r="O1736" s="1020"/>
      <c r="P1736" s="1021"/>
      <c r="Q1736" s="26"/>
      <c r="R1736" s="26"/>
      <c r="S1736" s="37"/>
    </row>
    <row r="1737" spans="3:19" x14ac:dyDescent="0.25">
      <c r="C1737" s="1012">
        <v>47</v>
      </c>
      <c r="D1737" s="1013" t="s">
        <v>85</v>
      </c>
      <c r="E1737" s="1014"/>
      <c r="F1737" s="1015"/>
      <c r="G1737" s="39" t="s">
        <v>16</v>
      </c>
      <c r="H1737" s="33">
        <v>46085</v>
      </c>
      <c r="I1737" s="1022"/>
      <c r="J1737" s="1017"/>
      <c r="K1737" s="1018"/>
      <c r="L1737" s="1018"/>
      <c r="M1737" s="1019"/>
      <c r="N1737" s="1020"/>
      <c r="O1737" s="1020"/>
      <c r="P1737" s="1021"/>
      <c r="Q1737" s="26"/>
      <c r="R1737" s="26"/>
      <c r="S1737" s="37"/>
    </row>
    <row r="1738" spans="3:19" x14ac:dyDescent="0.25">
      <c r="C1738" s="1012">
        <v>47</v>
      </c>
      <c r="D1738" s="1013" t="s">
        <v>85</v>
      </c>
      <c r="E1738" s="1023"/>
      <c r="F1738" s="1024"/>
      <c r="G1738" s="39" t="s">
        <v>17</v>
      </c>
      <c r="H1738" s="33">
        <v>46086</v>
      </c>
      <c r="I1738" s="1022"/>
      <c r="J1738" s="1017"/>
      <c r="K1738" s="1018"/>
      <c r="L1738" s="1018"/>
      <c r="M1738" s="1019"/>
      <c r="N1738" s="1020"/>
      <c r="O1738" s="1020"/>
      <c r="P1738" s="1021"/>
      <c r="Q1738" s="26"/>
      <c r="R1738" s="26"/>
      <c r="S1738" s="37"/>
    </row>
    <row r="1739" spans="3:19" x14ac:dyDescent="0.25">
      <c r="C1739" s="1012">
        <v>47</v>
      </c>
      <c r="D1739" s="1013" t="s">
        <v>85</v>
      </c>
      <c r="E1739" s="1023"/>
      <c r="F1739" s="1024"/>
      <c r="G1739" s="45" t="s">
        <v>18</v>
      </c>
      <c r="H1739" s="33">
        <v>46087</v>
      </c>
      <c r="I1739" s="1022"/>
      <c r="J1739" s="1017"/>
      <c r="K1739" s="1018"/>
      <c r="L1739" s="1018"/>
      <c r="M1739" s="1019"/>
      <c r="N1739" s="1020"/>
      <c r="O1739" s="1020"/>
      <c r="P1739" s="1021"/>
      <c r="Q1739" s="26"/>
      <c r="R1739" s="26"/>
      <c r="S1739" s="37"/>
    </row>
    <row r="1740" spans="3:19" x14ac:dyDescent="0.25">
      <c r="C1740" s="1012">
        <v>47</v>
      </c>
      <c r="D1740" s="1013" t="s">
        <v>85</v>
      </c>
      <c r="E1740" s="1023"/>
      <c r="F1740" s="1024"/>
      <c r="G1740" s="39" t="s">
        <v>19</v>
      </c>
      <c r="H1740" s="33">
        <v>46088</v>
      </c>
      <c r="I1740" s="1022"/>
      <c r="J1740" s="1017"/>
      <c r="K1740" s="1018"/>
      <c r="L1740" s="1018"/>
      <c r="M1740" s="1019"/>
      <c r="N1740" s="1020"/>
      <c r="O1740" s="1020"/>
      <c r="P1740" s="1021"/>
      <c r="Q1740" s="26"/>
      <c r="R1740" s="26"/>
      <c r="S1740" s="37"/>
    </row>
    <row r="1741" spans="3:19" x14ac:dyDescent="0.25">
      <c r="C1741" s="1012">
        <v>47</v>
      </c>
      <c r="D1741" s="1013" t="s">
        <v>85</v>
      </c>
      <c r="E1741" s="1023"/>
      <c r="F1741" s="1024"/>
      <c r="G1741" s="46" t="s">
        <v>13</v>
      </c>
      <c r="H1741" s="33">
        <v>46089</v>
      </c>
      <c r="I1741" s="1016"/>
      <c r="K1741" s="1018"/>
      <c r="L1741" s="1018"/>
      <c r="M1741" s="1019"/>
      <c r="N1741" s="1020"/>
      <c r="O1741" s="1020"/>
      <c r="P1741" s="1021"/>
      <c r="Q1741" s="26"/>
      <c r="R1741" s="26"/>
      <c r="S1741" s="37"/>
    </row>
    <row r="1742" spans="3:19" x14ac:dyDescent="0.25">
      <c r="C1742" s="1012">
        <v>47</v>
      </c>
      <c r="D1742" s="1013" t="s">
        <v>85</v>
      </c>
      <c r="E1742" s="1023"/>
      <c r="F1742" s="1024"/>
      <c r="G1742" s="39" t="s">
        <v>14</v>
      </c>
      <c r="H1742" s="33">
        <v>46090</v>
      </c>
      <c r="J1742" s="1022"/>
      <c r="K1742" s="1018"/>
      <c r="L1742" s="1018"/>
      <c r="M1742" s="1019"/>
      <c r="N1742" s="1020"/>
      <c r="O1742" s="1020"/>
      <c r="P1742" s="1021"/>
      <c r="Q1742" s="26"/>
      <c r="R1742" s="26"/>
      <c r="S1742" s="37"/>
    </row>
    <row r="1743" spans="3:19" x14ac:dyDescent="0.25">
      <c r="C1743" s="1012">
        <v>47</v>
      </c>
      <c r="D1743" s="1013" t="s">
        <v>85</v>
      </c>
      <c r="E1743" s="1023"/>
      <c r="F1743" s="1024"/>
      <c r="G1743" s="39" t="s">
        <v>15</v>
      </c>
      <c r="H1743" s="33">
        <v>46091</v>
      </c>
      <c r="I1743" s="1016"/>
      <c r="J1743" s="1017"/>
      <c r="K1743" s="1018"/>
      <c r="L1743" s="1018"/>
      <c r="M1743" s="1019"/>
      <c r="N1743" s="1020"/>
      <c r="O1743" s="1020"/>
      <c r="P1743" s="1021"/>
      <c r="Q1743" s="26"/>
      <c r="R1743" s="26"/>
      <c r="S1743" s="37"/>
    </row>
    <row r="1744" spans="3:19" x14ac:dyDescent="0.25">
      <c r="C1744" s="1012">
        <v>47</v>
      </c>
      <c r="D1744" s="1013" t="s">
        <v>85</v>
      </c>
      <c r="E1744" s="1023"/>
      <c r="F1744" s="1024"/>
      <c r="G1744" s="39" t="s">
        <v>16</v>
      </c>
      <c r="H1744" s="33">
        <v>46092</v>
      </c>
      <c r="I1744" s="1022"/>
      <c r="J1744" s="1017"/>
      <c r="K1744" s="1018"/>
      <c r="L1744" s="1018"/>
      <c r="M1744" s="1019"/>
      <c r="N1744" s="1020"/>
      <c r="O1744" s="1020"/>
      <c r="P1744" s="1021"/>
      <c r="Q1744" s="26"/>
      <c r="R1744" s="26"/>
      <c r="S1744" s="37"/>
    </row>
    <row r="1745" spans="3:19" x14ac:dyDescent="0.25">
      <c r="C1745" s="1012">
        <v>47</v>
      </c>
      <c r="D1745" s="1013" t="s">
        <v>85</v>
      </c>
      <c r="E1745" s="1014"/>
      <c r="F1745" s="1015"/>
      <c r="G1745" s="39" t="s">
        <v>17</v>
      </c>
      <c r="H1745" s="33">
        <v>46093</v>
      </c>
      <c r="I1745" s="1022"/>
      <c r="J1745" s="1017"/>
      <c r="K1745" s="1018"/>
      <c r="L1745" s="1018"/>
      <c r="M1745" s="1019"/>
      <c r="N1745" s="1020"/>
      <c r="O1745" s="1020"/>
      <c r="P1745" s="1021"/>
      <c r="Q1745" s="26"/>
      <c r="R1745" s="26"/>
      <c r="S1745" s="37"/>
    </row>
    <row r="1746" spans="3:19" x14ac:dyDescent="0.25">
      <c r="C1746" s="1012">
        <v>47</v>
      </c>
      <c r="D1746" s="1013" t="s">
        <v>85</v>
      </c>
      <c r="E1746" s="1023"/>
      <c r="F1746" s="1024"/>
      <c r="G1746" s="48" t="s">
        <v>18</v>
      </c>
      <c r="H1746" s="33">
        <v>46094</v>
      </c>
      <c r="I1746" s="1016"/>
      <c r="J1746" s="1017"/>
      <c r="K1746" s="1018"/>
      <c r="L1746" s="1018"/>
      <c r="M1746" s="1019"/>
      <c r="N1746" s="1020"/>
      <c r="O1746" s="1020"/>
      <c r="P1746" s="1021"/>
      <c r="Q1746" s="26"/>
      <c r="R1746" s="26"/>
      <c r="S1746" s="37"/>
    </row>
    <row r="1747" spans="3:19" x14ac:dyDescent="0.25">
      <c r="C1747" s="1012">
        <v>47</v>
      </c>
      <c r="D1747" s="1013" t="s">
        <v>85</v>
      </c>
      <c r="E1747" s="1023"/>
      <c r="F1747" s="1024"/>
      <c r="G1747" s="39" t="s">
        <v>19</v>
      </c>
      <c r="H1747" s="33">
        <v>46095</v>
      </c>
      <c r="I1747" s="1022"/>
      <c r="J1747" s="1017"/>
      <c r="K1747" s="1018"/>
      <c r="L1747" s="1018"/>
      <c r="M1747" s="1019"/>
      <c r="N1747" s="1020"/>
      <c r="O1747" s="1020"/>
      <c r="P1747" s="1021"/>
      <c r="Q1747" s="26"/>
      <c r="R1747" s="26"/>
      <c r="S1747" s="37"/>
    </row>
    <row r="1748" spans="3:19" x14ac:dyDescent="0.25">
      <c r="C1748" s="1012">
        <v>47</v>
      </c>
      <c r="D1748" s="1013" t="s">
        <v>85</v>
      </c>
      <c r="E1748" s="1023"/>
      <c r="F1748" s="1024"/>
      <c r="G1748" s="46" t="s">
        <v>13</v>
      </c>
      <c r="H1748" s="33">
        <v>46096</v>
      </c>
      <c r="I1748" s="1022"/>
      <c r="J1748" s="1017"/>
      <c r="K1748" s="1018"/>
      <c r="L1748" s="1018"/>
      <c r="M1748" s="1019"/>
      <c r="N1748" s="1020"/>
      <c r="O1748" s="1020"/>
      <c r="P1748" s="44"/>
      <c r="Q1748" s="26"/>
      <c r="R1748" s="26"/>
      <c r="S1748" s="37"/>
    </row>
    <row r="1749" spans="3:19" x14ac:dyDescent="0.25">
      <c r="C1749" s="1012">
        <v>47</v>
      </c>
      <c r="D1749" s="1013" t="s">
        <v>85</v>
      </c>
      <c r="E1749" s="1023"/>
      <c r="F1749" s="1024"/>
      <c r="G1749" s="39" t="s">
        <v>14</v>
      </c>
      <c r="H1749" s="33">
        <v>46097</v>
      </c>
      <c r="I1749" s="1016"/>
      <c r="J1749" s="1017"/>
      <c r="K1749" s="1018"/>
      <c r="L1749" s="1018"/>
      <c r="M1749" s="1019"/>
      <c r="N1749" s="1020"/>
      <c r="O1749" s="1020"/>
      <c r="P1749" s="1021"/>
      <c r="Q1749" s="26"/>
      <c r="R1749" s="26"/>
      <c r="S1749" s="37"/>
    </row>
    <row r="1750" spans="3:19" x14ac:dyDescent="0.25">
      <c r="C1750" s="1012">
        <v>47</v>
      </c>
      <c r="D1750" s="1013" t="s">
        <v>85</v>
      </c>
      <c r="E1750" s="1023"/>
      <c r="F1750" s="1024"/>
      <c r="G1750" s="39" t="s">
        <v>15</v>
      </c>
      <c r="H1750" s="33">
        <v>46098</v>
      </c>
      <c r="I1750" s="1016"/>
      <c r="J1750" s="1017"/>
      <c r="K1750" s="1018"/>
      <c r="L1750" s="1018"/>
      <c r="M1750" s="1019"/>
      <c r="N1750" s="1020"/>
      <c r="O1750" s="1020"/>
      <c r="P1750" s="1021"/>
      <c r="Q1750" s="26"/>
      <c r="R1750" s="26"/>
      <c r="S1750" s="37"/>
    </row>
    <row r="1751" spans="3:19" x14ac:dyDescent="0.25">
      <c r="C1751" s="1012">
        <v>47</v>
      </c>
      <c r="D1751" s="1013" t="s">
        <v>85</v>
      </c>
      <c r="E1751" s="1023"/>
      <c r="F1751" s="1024"/>
      <c r="G1751" s="39" t="s">
        <v>16</v>
      </c>
      <c r="H1751" s="33">
        <v>46099</v>
      </c>
      <c r="I1751" s="1025"/>
      <c r="J1751" s="1017"/>
      <c r="K1751" s="1018"/>
      <c r="L1751" s="1018"/>
      <c r="M1751" s="1019"/>
      <c r="N1751" s="1020"/>
      <c r="O1751" s="1020"/>
      <c r="P1751" s="1021"/>
      <c r="Q1751" s="26"/>
      <c r="R1751" s="26"/>
      <c r="S1751" s="37"/>
    </row>
    <row r="1752" spans="3:19" x14ac:dyDescent="0.25">
      <c r="C1752" s="1012">
        <v>47</v>
      </c>
      <c r="D1752" s="1013" t="s">
        <v>85</v>
      </c>
      <c r="E1752" s="1023"/>
      <c r="F1752" s="1024"/>
      <c r="G1752" s="39" t="s">
        <v>17</v>
      </c>
      <c r="H1752" s="33">
        <v>46100</v>
      </c>
      <c r="I1752" s="1025"/>
      <c r="J1752" s="1017"/>
      <c r="K1752" s="1018"/>
      <c r="L1752" s="1018"/>
      <c r="M1752" s="1019"/>
      <c r="N1752" s="1020"/>
      <c r="O1752" s="1020"/>
      <c r="P1752" s="1021"/>
      <c r="Q1752" s="26"/>
      <c r="R1752" s="26"/>
      <c r="S1752" s="37"/>
    </row>
    <row r="1753" spans="3:19" x14ac:dyDescent="0.25">
      <c r="C1753" s="1012">
        <v>47</v>
      </c>
      <c r="D1753" s="1013" t="s">
        <v>85</v>
      </c>
      <c r="E1753" s="1023"/>
      <c r="F1753" s="1024"/>
      <c r="G1753" s="39" t="s">
        <v>18</v>
      </c>
      <c r="H1753" s="33">
        <v>46101</v>
      </c>
      <c r="I1753" s="1022"/>
      <c r="J1753" s="1017"/>
      <c r="K1753" s="1018"/>
      <c r="L1753" s="1018"/>
      <c r="M1753" s="1019"/>
      <c r="N1753" s="1020"/>
      <c r="O1753" s="1020"/>
      <c r="P1753" s="1021"/>
      <c r="Q1753" s="26"/>
      <c r="R1753" s="26"/>
      <c r="S1753" s="37"/>
    </row>
    <row r="1754" spans="3:19" x14ac:dyDescent="0.25">
      <c r="C1754" s="1012">
        <v>47</v>
      </c>
      <c r="D1754" s="1013" t="s">
        <v>85</v>
      </c>
      <c r="E1754" s="1023"/>
      <c r="F1754" s="1024"/>
      <c r="G1754" s="39" t="s">
        <v>19</v>
      </c>
      <c r="H1754" s="33">
        <v>46102</v>
      </c>
      <c r="I1754" s="1022"/>
      <c r="J1754" s="1017"/>
      <c r="K1754" s="1018"/>
      <c r="L1754" s="1018"/>
      <c r="M1754" s="1019"/>
      <c r="N1754" s="1020"/>
      <c r="O1754" s="1020"/>
      <c r="P1754" s="1021"/>
      <c r="Q1754" s="26"/>
      <c r="R1754" s="26"/>
      <c r="S1754" s="37"/>
    </row>
    <row r="1755" spans="3:19" x14ac:dyDescent="0.25">
      <c r="C1755" s="1012">
        <v>47</v>
      </c>
      <c r="D1755" s="1013" t="s">
        <v>85</v>
      </c>
      <c r="E1755" s="1023"/>
      <c r="F1755" s="1024"/>
      <c r="G1755" s="46" t="s">
        <v>13</v>
      </c>
      <c r="H1755" s="33">
        <v>46103</v>
      </c>
      <c r="I1755" s="1022"/>
      <c r="J1755" s="1017"/>
      <c r="K1755" s="1018"/>
      <c r="L1755" s="1018"/>
      <c r="M1755" s="1019"/>
      <c r="N1755" s="1020"/>
      <c r="O1755" s="1020"/>
      <c r="P1755" s="1021"/>
      <c r="Q1755" s="26"/>
      <c r="R1755" s="26"/>
      <c r="S1755" s="37"/>
    </row>
    <row r="1756" spans="3:19" x14ac:dyDescent="0.25">
      <c r="C1756" s="1012">
        <v>47</v>
      </c>
      <c r="D1756" s="1013" t="s">
        <v>85</v>
      </c>
      <c r="E1756" s="1023"/>
      <c r="F1756" s="1024"/>
      <c r="G1756" s="39" t="s">
        <v>14</v>
      </c>
      <c r="H1756" s="33">
        <v>46104</v>
      </c>
      <c r="I1756" s="1025"/>
      <c r="J1756" s="1017"/>
      <c r="K1756" s="1018"/>
      <c r="L1756" s="1018"/>
      <c r="M1756" s="1019"/>
      <c r="N1756" s="1020"/>
      <c r="O1756" s="1020"/>
      <c r="P1756" s="1021"/>
      <c r="Q1756" s="26"/>
      <c r="R1756" s="26"/>
      <c r="S1756" s="37"/>
    </row>
    <row r="1757" spans="3:19" x14ac:dyDescent="0.25">
      <c r="C1757" s="1012">
        <v>47</v>
      </c>
      <c r="D1757" s="1013" t="s">
        <v>85</v>
      </c>
      <c r="E1757" s="1023"/>
      <c r="F1757" s="1024"/>
      <c r="G1757" s="39" t="s">
        <v>15</v>
      </c>
      <c r="H1757" s="33">
        <v>46105</v>
      </c>
      <c r="I1757" s="1022"/>
      <c r="J1757" s="1017"/>
      <c r="K1757" s="1018"/>
      <c r="L1757" s="1018"/>
      <c r="M1757" s="1019"/>
      <c r="N1757" s="1020"/>
      <c r="O1757" s="1020"/>
      <c r="P1757" s="1021"/>
      <c r="Q1757" s="26"/>
      <c r="R1757" s="26"/>
      <c r="S1757" s="37"/>
    </row>
    <row r="1758" spans="3:19" x14ac:dyDescent="0.25">
      <c r="C1758" s="1012">
        <v>47</v>
      </c>
      <c r="D1758" s="1013" t="s">
        <v>85</v>
      </c>
      <c r="E1758" s="1023"/>
      <c r="F1758" s="1024"/>
      <c r="G1758" s="39" t="s">
        <v>16</v>
      </c>
      <c r="H1758" s="33">
        <v>46106</v>
      </c>
      <c r="I1758" s="1022"/>
      <c r="J1758" s="1017"/>
      <c r="K1758" s="1018"/>
      <c r="L1758" s="1018"/>
      <c r="M1758" s="1019"/>
      <c r="N1758" s="1020"/>
      <c r="O1758" s="1020"/>
      <c r="P1758" s="1021"/>
      <c r="Q1758" s="26"/>
      <c r="R1758" s="26"/>
      <c r="S1758" s="37"/>
    </row>
    <row r="1759" spans="3:19" x14ac:dyDescent="0.25">
      <c r="C1759" s="1012">
        <v>47</v>
      </c>
      <c r="D1759" s="1013" t="s">
        <v>85</v>
      </c>
      <c r="E1759" s="1023"/>
      <c r="F1759" s="1024"/>
      <c r="G1759" s="39" t="s">
        <v>17</v>
      </c>
      <c r="H1759" s="33">
        <v>46107</v>
      </c>
      <c r="I1759" s="1025"/>
      <c r="J1759" s="1017"/>
      <c r="K1759" s="1018"/>
      <c r="L1759" s="1018"/>
      <c r="M1759" s="1019"/>
      <c r="N1759" s="1020"/>
      <c r="O1759" s="1020"/>
      <c r="P1759" s="1021"/>
      <c r="Q1759" s="26"/>
      <c r="R1759" s="26"/>
      <c r="S1759" s="37"/>
    </row>
    <row r="1760" spans="3:19" x14ac:dyDescent="0.25">
      <c r="C1760" s="1012">
        <v>47</v>
      </c>
      <c r="D1760" s="1013" t="s">
        <v>85</v>
      </c>
      <c r="E1760" s="1023"/>
      <c r="F1760" s="1024"/>
      <c r="G1760" s="39" t="s">
        <v>18</v>
      </c>
      <c r="H1760" s="33">
        <v>46108</v>
      </c>
      <c r="I1760" s="1022"/>
      <c r="J1760" s="1017"/>
      <c r="K1760" s="1018"/>
      <c r="L1760" s="1018"/>
      <c r="M1760" s="1019"/>
      <c r="N1760" s="1020"/>
      <c r="O1760" s="1020"/>
      <c r="P1760" s="1021"/>
      <c r="Q1760" s="26"/>
      <c r="R1760" s="26"/>
      <c r="S1760" s="37"/>
    </row>
    <row r="1761" spans="3:19" x14ac:dyDescent="0.25">
      <c r="C1761" s="1012">
        <v>47</v>
      </c>
      <c r="D1761" s="1013" t="s">
        <v>85</v>
      </c>
      <c r="E1761" s="1023"/>
      <c r="F1761" s="1024"/>
      <c r="G1761" s="39" t="s">
        <v>19</v>
      </c>
      <c r="H1761" s="33">
        <v>46109</v>
      </c>
      <c r="I1761" s="1022"/>
      <c r="J1761" s="1017"/>
      <c r="K1761" s="1018"/>
      <c r="L1761" s="1018"/>
      <c r="M1761" s="1019"/>
      <c r="N1761" s="1020"/>
      <c r="O1761" s="1020"/>
      <c r="P1761" s="1021"/>
      <c r="Q1761" s="26"/>
      <c r="R1761" s="26"/>
      <c r="S1761" s="37"/>
    </row>
    <row r="1762" spans="3:19" x14ac:dyDescent="0.25">
      <c r="C1762" s="1012">
        <v>47</v>
      </c>
      <c r="D1762" s="1013" t="s">
        <v>85</v>
      </c>
      <c r="E1762" s="1023"/>
      <c r="F1762" s="1024"/>
      <c r="G1762" s="46" t="s">
        <v>13</v>
      </c>
      <c r="H1762" s="33">
        <v>46110</v>
      </c>
      <c r="I1762" s="1022"/>
      <c r="J1762" s="1017"/>
      <c r="K1762" s="1018"/>
      <c r="L1762" s="1018"/>
      <c r="M1762" s="1019"/>
      <c r="N1762" s="1020"/>
      <c r="O1762" s="1020"/>
      <c r="P1762" s="1021"/>
      <c r="Q1762" s="26"/>
      <c r="R1762" s="26"/>
      <c r="S1762" s="37"/>
    </row>
    <row r="1763" spans="3:19" x14ac:dyDescent="0.25">
      <c r="C1763" s="1012">
        <v>47</v>
      </c>
      <c r="D1763" s="1013" t="s">
        <v>85</v>
      </c>
      <c r="E1763" s="1023"/>
      <c r="F1763" s="1024"/>
      <c r="G1763" s="39" t="s">
        <v>14</v>
      </c>
      <c r="H1763" s="33">
        <v>46111</v>
      </c>
      <c r="I1763" s="1022"/>
      <c r="J1763" s="1017"/>
      <c r="K1763" s="1018"/>
      <c r="L1763" s="1018"/>
      <c r="M1763" s="1019"/>
      <c r="N1763" s="1020"/>
      <c r="O1763" s="1020"/>
      <c r="P1763" s="1021"/>
      <c r="Q1763" s="26"/>
      <c r="R1763" s="26"/>
      <c r="S1763" s="37"/>
    </row>
    <row r="1764" spans="3:19" x14ac:dyDescent="0.25">
      <c r="C1764" s="1012">
        <v>47</v>
      </c>
      <c r="D1764" s="1013" t="s">
        <v>85</v>
      </c>
      <c r="E1764" s="1023"/>
      <c r="F1764" s="1024"/>
      <c r="G1764" s="39" t="s">
        <v>15</v>
      </c>
      <c r="H1764" s="33">
        <v>46112</v>
      </c>
      <c r="I1764" s="1022"/>
      <c r="J1764" s="1017"/>
      <c r="K1764" s="1018"/>
      <c r="L1764" s="1018"/>
      <c r="M1764" s="1019"/>
      <c r="N1764" s="1020"/>
      <c r="O1764" s="1020"/>
      <c r="P1764" s="1021"/>
      <c r="Q1764" s="26"/>
      <c r="R1764" s="26"/>
      <c r="S1764" s="37"/>
    </row>
    <row r="1765" spans="3:19" x14ac:dyDescent="0.25">
      <c r="C1765" s="1012">
        <v>47</v>
      </c>
      <c r="D1765" s="1013" t="s">
        <v>85</v>
      </c>
      <c r="E1765" s="1023"/>
      <c r="F1765" s="1024"/>
      <c r="G1765" s="39" t="s">
        <v>16</v>
      </c>
      <c r="H1765" s="33">
        <v>46324</v>
      </c>
      <c r="I1765" s="1026"/>
      <c r="J1765" s="1026"/>
      <c r="K1765" s="1027"/>
      <c r="L1765" s="1027"/>
      <c r="M1765" s="1028"/>
      <c r="N1765" s="1029"/>
      <c r="O1765" s="1029"/>
      <c r="P1765" s="1030"/>
      <c r="Q1765" s="26"/>
      <c r="R1765" s="26"/>
      <c r="S1765" s="37"/>
    </row>
    <row r="1766" spans="3:19" x14ac:dyDescent="0.25">
      <c r="C1766" s="1012">
        <v>47</v>
      </c>
      <c r="D1766" s="1013" t="s">
        <v>85</v>
      </c>
      <c r="E1766" s="1023"/>
      <c r="F1766" s="1024"/>
      <c r="G1766" s="39" t="s">
        <v>17</v>
      </c>
      <c r="H1766" s="33">
        <v>46325</v>
      </c>
      <c r="I1766" s="1026"/>
      <c r="J1766" s="1026"/>
      <c r="K1766" s="1027"/>
      <c r="L1766" s="1027"/>
      <c r="M1766" s="1028"/>
      <c r="N1766" s="1029"/>
      <c r="O1766" s="1029"/>
      <c r="P1766" s="1030"/>
      <c r="Q1766" s="26"/>
      <c r="R1766" s="26"/>
      <c r="S1766" s="37"/>
    </row>
    <row r="1767" spans="3:19" x14ac:dyDescent="0.25">
      <c r="C1767" s="1012">
        <v>47</v>
      </c>
      <c r="D1767" s="1013" t="s">
        <v>85</v>
      </c>
      <c r="E1767" s="1023"/>
      <c r="F1767" s="1024"/>
      <c r="G1767" s="39" t="s">
        <v>18</v>
      </c>
      <c r="H1767" s="33">
        <v>46326</v>
      </c>
      <c r="I1767" s="1026"/>
      <c r="J1767" s="1026"/>
      <c r="K1767" s="1027"/>
      <c r="L1767" s="1027"/>
      <c r="M1767" s="1028"/>
      <c r="N1767" s="1029"/>
      <c r="O1767" s="1029"/>
      <c r="P1767" s="1030"/>
      <c r="Q1767" s="26"/>
      <c r="R1767" s="26"/>
      <c r="S1767" s="37"/>
    </row>
    <row r="1768" spans="3:19" x14ac:dyDescent="0.25">
      <c r="C1768" s="1031"/>
      <c r="D1768" s="1032"/>
      <c r="E1768" s="1033"/>
      <c r="F1768" s="1033"/>
      <c r="G1768" s="1034"/>
      <c r="H1768" s="1035"/>
      <c r="I1768" s="1036" t="str">
        <f>D1737</f>
        <v>ADRYAN</v>
      </c>
      <c r="J1768" s="1037" t="s">
        <v>20</v>
      </c>
      <c r="K1768" s="1038"/>
      <c r="L1768" s="1038"/>
      <c r="M1768" s="1039">
        <f>SUM(M1734:M1767)</f>
        <v>0</v>
      </c>
      <c r="N1768" s="1039">
        <f t="shared" ref="N1768:O1768" si="44">SUM(N1734:N1767)</f>
        <v>0</v>
      </c>
      <c r="O1768" s="1039">
        <f t="shared" si="44"/>
        <v>0</v>
      </c>
      <c r="P1768" s="1040"/>
      <c r="Q1768" s="26"/>
      <c r="R1768" s="26"/>
      <c r="S1768" s="37"/>
    </row>
    <row r="1769" spans="3:19" x14ac:dyDescent="0.2">
      <c r="C1769" s="1041"/>
      <c r="D1769" s="1042"/>
      <c r="E1769" s="1043"/>
      <c r="F1769" s="1043"/>
      <c r="G1769" s="1044"/>
      <c r="H1769" s="1045"/>
      <c r="I1769" s="1046"/>
      <c r="J1769" s="1046"/>
      <c r="K1769" s="1045"/>
      <c r="L1769" s="1045"/>
      <c r="M1769" s="1045"/>
      <c r="N1769" s="1047"/>
      <c r="O1769" s="1047"/>
      <c r="P1769" s="1048"/>
      <c r="Q1769" s="26"/>
      <c r="R1769" s="26"/>
      <c r="S1769" s="37"/>
    </row>
    <row r="1770" spans="3:19" x14ac:dyDescent="0.2">
      <c r="C1770" s="58"/>
      <c r="D1770" s="59"/>
      <c r="E1770" s="60"/>
      <c r="F1770" s="60"/>
      <c r="G1770" s="61"/>
      <c r="H1770" s="62"/>
      <c r="I1770" s="63"/>
      <c r="J1770" s="63"/>
      <c r="K1770" s="62"/>
      <c r="L1770" s="62"/>
      <c r="M1770" s="62"/>
      <c r="N1770" s="64"/>
      <c r="O1770" s="64"/>
      <c r="P1770" s="65"/>
      <c r="Q1770" s="26"/>
      <c r="R1770" s="26"/>
      <c r="S1770" s="37"/>
    </row>
    <row r="1771" spans="3:19" x14ac:dyDescent="0.2">
      <c r="C1771" s="365" t="s">
        <v>1</v>
      </c>
      <c r="D1771" s="668" t="s">
        <v>2</v>
      </c>
      <c r="E1771" s="669" t="s">
        <v>3</v>
      </c>
      <c r="F1771" s="669" t="s">
        <v>4</v>
      </c>
      <c r="G1771" s="670" t="s">
        <v>5</v>
      </c>
      <c r="H1771" s="669" t="s">
        <v>6</v>
      </c>
      <c r="I1771" s="671" t="s">
        <v>7</v>
      </c>
      <c r="J1771" s="671" t="s">
        <v>8</v>
      </c>
      <c r="K1771" s="672"/>
      <c r="L1771" s="673"/>
      <c r="M1771" s="673" t="s">
        <v>9</v>
      </c>
      <c r="N1771" s="674" t="s">
        <v>10</v>
      </c>
      <c r="O1771" s="674" t="s">
        <v>11</v>
      </c>
      <c r="P1771" s="675"/>
      <c r="Q1771" s="26"/>
      <c r="R1771" s="26"/>
      <c r="S1771" s="37"/>
    </row>
    <row r="1772" spans="3:19" x14ac:dyDescent="0.25">
      <c r="C1772" s="1049">
        <v>48</v>
      </c>
      <c r="D1772" s="1050" t="s">
        <v>85</v>
      </c>
      <c r="E1772" s="1051"/>
      <c r="F1772" s="1052"/>
      <c r="G1772" s="32" t="s">
        <v>13</v>
      </c>
      <c r="H1772" s="33">
        <v>46082</v>
      </c>
      <c r="I1772" s="1053"/>
      <c r="J1772" s="1054"/>
      <c r="K1772" s="1055"/>
      <c r="L1772" s="1055"/>
      <c r="M1772" s="1056"/>
      <c r="N1772" s="1057"/>
      <c r="O1772" s="1057"/>
      <c r="P1772" s="1058"/>
      <c r="Q1772" s="26"/>
      <c r="R1772" s="26"/>
      <c r="S1772" s="37"/>
    </row>
    <row r="1773" spans="3:19" x14ac:dyDescent="0.25">
      <c r="C1773" s="1049">
        <v>48</v>
      </c>
      <c r="D1773" s="1050" t="s">
        <v>85</v>
      </c>
      <c r="E1773" s="1051"/>
      <c r="F1773" s="1052"/>
      <c r="G1773" s="29" t="s">
        <v>14</v>
      </c>
      <c r="H1773" s="33">
        <v>46083</v>
      </c>
      <c r="I1773" s="1053"/>
      <c r="J1773" s="1054"/>
      <c r="K1773" s="1055"/>
      <c r="L1773" s="1055"/>
      <c r="M1773" s="1056"/>
      <c r="N1773" s="1057"/>
      <c r="O1773" s="1057"/>
      <c r="P1773" s="1058"/>
      <c r="Q1773" s="26"/>
      <c r="R1773" s="26"/>
      <c r="S1773" s="37"/>
    </row>
    <row r="1774" spans="3:19" x14ac:dyDescent="0.25">
      <c r="C1774" s="1049">
        <v>48</v>
      </c>
      <c r="D1774" s="1050" t="s">
        <v>85</v>
      </c>
      <c r="E1774" s="1051"/>
      <c r="F1774" s="1052"/>
      <c r="G1774" s="39" t="s">
        <v>15</v>
      </c>
      <c r="H1774" s="33">
        <v>46084</v>
      </c>
      <c r="I1774" s="1059"/>
      <c r="J1774" s="1054"/>
      <c r="K1774" s="1055"/>
      <c r="L1774" s="1055"/>
      <c r="M1774" s="1056"/>
      <c r="N1774" s="1057"/>
      <c r="O1774" s="1057"/>
      <c r="P1774" s="1058"/>
      <c r="Q1774" s="26"/>
      <c r="R1774" s="26"/>
      <c r="S1774" s="37"/>
    </row>
    <row r="1775" spans="3:19" x14ac:dyDescent="0.25">
      <c r="C1775" s="1049">
        <v>48</v>
      </c>
      <c r="D1775" s="1050" t="s">
        <v>85</v>
      </c>
      <c r="E1775" s="1051"/>
      <c r="F1775" s="1052"/>
      <c r="G1775" s="39" t="s">
        <v>16</v>
      </c>
      <c r="H1775" s="33">
        <v>46085</v>
      </c>
      <c r="I1775" s="1059"/>
      <c r="J1775" s="1054"/>
      <c r="K1775" s="1055"/>
      <c r="L1775" s="1055"/>
      <c r="M1775" s="1056"/>
      <c r="N1775" s="1057"/>
      <c r="O1775" s="1057"/>
      <c r="P1775" s="1058"/>
      <c r="Q1775" s="26"/>
      <c r="R1775" s="26"/>
      <c r="S1775" s="37"/>
    </row>
    <row r="1776" spans="3:19" x14ac:dyDescent="0.25">
      <c r="C1776" s="1049">
        <v>48</v>
      </c>
      <c r="D1776" s="1050" t="s">
        <v>85</v>
      </c>
      <c r="E1776" s="1060"/>
      <c r="F1776" s="1061"/>
      <c r="G1776" s="39" t="s">
        <v>17</v>
      </c>
      <c r="H1776" s="33">
        <v>46086</v>
      </c>
      <c r="I1776" s="1059"/>
      <c r="J1776" s="1054"/>
      <c r="K1776" s="1055"/>
      <c r="L1776" s="1055"/>
      <c r="M1776" s="1056"/>
      <c r="N1776" s="1057"/>
      <c r="O1776" s="1057"/>
      <c r="P1776" s="1058"/>
      <c r="Q1776" s="26"/>
      <c r="R1776" s="26"/>
      <c r="S1776" s="37"/>
    </row>
    <row r="1777" spans="3:19" x14ac:dyDescent="0.25">
      <c r="C1777" s="1049">
        <v>48</v>
      </c>
      <c r="D1777" s="1050" t="s">
        <v>85</v>
      </c>
      <c r="E1777" s="1060"/>
      <c r="F1777" s="1061"/>
      <c r="G1777" s="45" t="s">
        <v>18</v>
      </c>
      <c r="H1777" s="33">
        <v>46087</v>
      </c>
      <c r="I1777" s="1059"/>
      <c r="J1777" s="1054"/>
      <c r="K1777" s="1055"/>
      <c r="L1777" s="1055"/>
      <c r="M1777" s="1056"/>
      <c r="N1777" s="1057"/>
      <c r="O1777" s="1057"/>
      <c r="P1777" s="1058"/>
      <c r="Q1777" s="26"/>
      <c r="R1777" s="26"/>
      <c r="S1777" s="37"/>
    </row>
    <row r="1778" spans="3:19" x14ac:dyDescent="0.25">
      <c r="C1778" s="1049">
        <v>48</v>
      </c>
      <c r="D1778" s="1050" t="s">
        <v>85</v>
      </c>
      <c r="E1778" s="1060"/>
      <c r="F1778" s="1061"/>
      <c r="G1778" s="39" t="s">
        <v>19</v>
      </c>
      <c r="H1778" s="33">
        <v>46088</v>
      </c>
      <c r="I1778" s="1059"/>
      <c r="J1778" s="1054"/>
      <c r="K1778" s="1055"/>
      <c r="L1778" s="1055"/>
      <c r="M1778" s="1056"/>
      <c r="N1778" s="1057"/>
      <c r="O1778" s="1057"/>
      <c r="P1778" s="1058"/>
      <c r="Q1778" s="26"/>
      <c r="R1778" s="26"/>
      <c r="S1778" s="37"/>
    </row>
    <row r="1779" spans="3:19" x14ac:dyDescent="0.25">
      <c r="C1779" s="1049">
        <v>48</v>
      </c>
      <c r="D1779" s="1050" t="s">
        <v>85</v>
      </c>
      <c r="E1779" s="1060"/>
      <c r="F1779" s="1061"/>
      <c r="G1779" s="46" t="s">
        <v>13</v>
      </c>
      <c r="H1779" s="33">
        <v>46089</v>
      </c>
      <c r="I1779" s="1053"/>
      <c r="K1779" s="1055"/>
      <c r="L1779" s="1055"/>
      <c r="M1779" s="1056"/>
      <c r="N1779" s="1057"/>
      <c r="O1779" s="1057"/>
      <c r="P1779" s="1058"/>
      <c r="Q1779" s="26"/>
      <c r="R1779" s="26"/>
      <c r="S1779" s="37"/>
    </row>
    <row r="1780" spans="3:19" x14ac:dyDescent="0.25">
      <c r="C1780" s="1049">
        <v>48</v>
      </c>
      <c r="D1780" s="1050" t="s">
        <v>85</v>
      </c>
      <c r="E1780" s="1060"/>
      <c r="F1780" s="1061"/>
      <c r="G1780" s="39" t="s">
        <v>14</v>
      </c>
      <c r="H1780" s="33">
        <v>46090</v>
      </c>
      <c r="J1780" s="1059"/>
      <c r="K1780" s="1055"/>
      <c r="L1780" s="1055"/>
      <c r="M1780" s="1056"/>
      <c r="N1780" s="1057"/>
      <c r="O1780" s="1057"/>
      <c r="P1780" s="1058"/>
      <c r="Q1780" s="26"/>
      <c r="R1780" s="26"/>
      <c r="S1780" s="37"/>
    </row>
    <row r="1781" spans="3:19" x14ac:dyDescent="0.25">
      <c r="C1781" s="1049">
        <v>48</v>
      </c>
      <c r="D1781" s="1050" t="s">
        <v>85</v>
      </c>
      <c r="E1781" s="1060"/>
      <c r="F1781" s="1061"/>
      <c r="G1781" s="39" t="s">
        <v>15</v>
      </c>
      <c r="H1781" s="33">
        <v>46091</v>
      </c>
      <c r="I1781" s="1053"/>
      <c r="J1781" s="1054"/>
      <c r="K1781" s="1055"/>
      <c r="L1781" s="1055"/>
      <c r="M1781" s="1056"/>
      <c r="N1781" s="1057"/>
      <c r="O1781" s="1057"/>
      <c r="P1781" s="1058"/>
      <c r="Q1781" s="26"/>
      <c r="R1781" s="26"/>
      <c r="S1781" s="37"/>
    </row>
    <row r="1782" spans="3:19" x14ac:dyDescent="0.25">
      <c r="C1782" s="1049">
        <v>48</v>
      </c>
      <c r="D1782" s="1050" t="s">
        <v>85</v>
      </c>
      <c r="E1782" s="1060"/>
      <c r="F1782" s="1061"/>
      <c r="G1782" s="39" t="s">
        <v>16</v>
      </c>
      <c r="H1782" s="33">
        <v>46092</v>
      </c>
      <c r="I1782" s="1059"/>
      <c r="J1782" s="1054"/>
      <c r="K1782" s="1055"/>
      <c r="L1782" s="1055"/>
      <c r="M1782" s="1056"/>
      <c r="N1782" s="1057"/>
      <c r="O1782" s="1057"/>
      <c r="P1782" s="1058"/>
      <c r="Q1782" s="26"/>
      <c r="R1782" s="26"/>
      <c r="S1782" s="37"/>
    </row>
    <row r="1783" spans="3:19" x14ac:dyDescent="0.25">
      <c r="C1783" s="1049">
        <v>48</v>
      </c>
      <c r="D1783" s="1050" t="s">
        <v>85</v>
      </c>
      <c r="E1783" s="1051"/>
      <c r="F1783" s="1052"/>
      <c r="G1783" s="39" t="s">
        <v>17</v>
      </c>
      <c r="H1783" s="33">
        <v>46093</v>
      </c>
      <c r="I1783" s="1059"/>
      <c r="J1783" s="1054"/>
      <c r="K1783" s="1055"/>
      <c r="L1783" s="1055"/>
      <c r="M1783" s="1056"/>
      <c r="N1783" s="1057"/>
      <c r="O1783" s="1057"/>
      <c r="P1783" s="1058"/>
      <c r="Q1783" s="26"/>
      <c r="R1783" s="26"/>
      <c r="S1783" s="37"/>
    </row>
    <row r="1784" spans="3:19" x14ac:dyDescent="0.25">
      <c r="C1784" s="1049">
        <v>48</v>
      </c>
      <c r="D1784" s="1050" t="s">
        <v>85</v>
      </c>
      <c r="E1784" s="1060"/>
      <c r="F1784" s="1061"/>
      <c r="G1784" s="48" t="s">
        <v>18</v>
      </c>
      <c r="H1784" s="33">
        <v>46094</v>
      </c>
      <c r="I1784" s="1053"/>
      <c r="J1784" s="1054"/>
      <c r="K1784" s="1055"/>
      <c r="L1784" s="1055"/>
      <c r="M1784" s="1056"/>
      <c r="N1784" s="1057"/>
      <c r="O1784" s="1057"/>
      <c r="P1784" s="1058"/>
      <c r="Q1784" s="26"/>
      <c r="R1784" s="26"/>
      <c r="S1784" s="37"/>
    </row>
    <row r="1785" spans="3:19" x14ac:dyDescent="0.25">
      <c r="C1785" s="1049">
        <v>48</v>
      </c>
      <c r="D1785" s="1050" t="s">
        <v>85</v>
      </c>
      <c r="E1785" s="1060"/>
      <c r="F1785" s="1061"/>
      <c r="G1785" s="39" t="s">
        <v>19</v>
      </c>
      <c r="H1785" s="33">
        <v>46095</v>
      </c>
      <c r="I1785" s="1059"/>
      <c r="J1785" s="1054"/>
      <c r="K1785" s="1055"/>
      <c r="L1785" s="1055"/>
      <c r="M1785" s="1056"/>
      <c r="N1785" s="1057"/>
      <c r="O1785" s="1057"/>
      <c r="P1785" s="1058"/>
      <c r="Q1785" s="26"/>
      <c r="R1785" s="26"/>
      <c r="S1785" s="37"/>
    </row>
    <row r="1786" spans="3:19" x14ac:dyDescent="0.25">
      <c r="C1786" s="1049">
        <v>48</v>
      </c>
      <c r="D1786" s="1050" t="s">
        <v>85</v>
      </c>
      <c r="E1786" s="1060"/>
      <c r="F1786" s="1061"/>
      <c r="G1786" s="46" t="s">
        <v>13</v>
      </c>
      <c r="H1786" s="33">
        <v>46096</v>
      </c>
      <c r="I1786" s="1059"/>
      <c r="J1786" s="1054"/>
      <c r="K1786" s="1055"/>
      <c r="L1786" s="1055"/>
      <c r="M1786" s="1056"/>
      <c r="N1786" s="1057"/>
      <c r="O1786" s="1057"/>
      <c r="P1786" s="44"/>
      <c r="Q1786" s="26"/>
      <c r="R1786" s="26"/>
      <c r="S1786" s="37"/>
    </row>
    <row r="1787" spans="3:19" x14ac:dyDescent="0.25">
      <c r="C1787" s="1049">
        <v>48</v>
      </c>
      <c r="D1787" s="1050" t="s">
        <v>85</v>
      </c>
      <c r="E1787" s="1060"/>
      <c r="F1787" s="1061"/>
      <c r="G1787" s="39" t="s">
        <v>14</v>
      </c>
      <c r="H1787" s="33">
        <v>46097</v>
      </c>
      <c r="I1787" s="1053"/>
      <c r="J1787" s="1054"/>
      <c r="K1787" s="1055"/>
      <c r="L1787" s="1055"/>
      <c r="M1787" s="1056"/>
      <c r="N1787" s="1057"/>
      <c r="O1787" s="1057"/>
      <c r="P1787" s="1058"/>
      <c r="Q1787" s="26"/>
      <c r="R1787" s="26"/>
      <c r="S1787" s="37"/>
    </row>
    <row r="1788" spans="3:19" x14ac:dyDescent="0.25">
      <c r="C1788" s="1049">
        <v>48</v>
      </c>
      <c r="D1788" s="1050" t="s">
        <v>85</v>
      </c>
      <c r="E1788" s="1060"/>
      <c r="F1788" s="1061"/>
      <c r="G1788" s="39" t="s">
        <v>15</v>
      </c>
      <c r="H1788" s="33">
        <v>46098</v>
      </c>
      <c r="I1788" s="1053"/>
      <c r="J1788" s="1054"/>
      <c r="K1788" s="1055"/>
      <c r="L1788" s="1055"/>
      <c r="M1788" s="1056"/>
      <c r="N1788" s="1057"/>
      <c r="O1788" s="1057"/>
      <c r="P1788" s="1058"/>
      <c r="Q1788" s="26"/>
      <c r="R1788" s="26"/>
      <c r="S1788" s="37"/>
    </row>
    <row r="1789" spans="3:19" x14ac:dyDescent="0.25">
      <c r="C1789" s="1049">
        <v>48</v>
      </c>
      <c r="D1789" s="1050" t="s">
        <v>85</v>
      </c>
      <c r="E1789" s="1060"/>
      <c r="F1789" s="1061"/>
      <c r="G1789" s="39" t="s">
        <v>16</v>
      </c>
      <c r="H1789" s="33">
        <v>46099</v>
      </c>
      <c r="I1789" s="1062"/>
      <c r="J1789" s="1054"/>
      <c r="K1789" s="1055"/>
      <c r="L1789" s="1055"/>
      <c r="M1789" s="1056"/>
      <c r="N1789" s="1057"/>
      <c r="O1789" s="1057"/>
      <c r="P1789" s="1058"/>
      <c r="Q1789" s="26"/>
      <c r="R1789" s="26"/>
      <c r="S1789" s="37"/>
    </row>
    <row r="1790" spans="3:19" x14ac:dyDescent="0.25">
      <c r="C1790" s="1049">
        <v>48</v>
      </c>
      <c r="D1790" s="1050" t="s">
        <v>85</v>
      </c>
      <c r="E1790" s="1060"/>
      <c r="F1790" s="1061"/>
      <c r="G1790" s="39" t="s">
        <v>17</v>
      </c>
      <c r="H1790" s="33">
        <v>46100</v>
      </c>
      <c r="I1790" s="1062"/>
      <c r="J1790" s="1054"/>
      <c r="K1790" s="1055"/>
      <c r="L1790" s="1055"/>
      <c r="M1790" s="1056"/>
      <c r="N1790" s="1057"/>
      <c r="O1790" s="1057"/>
      <c r="P1790" s="1058"/>
      <c r="Q1790" s="26"/>
      <c r="R1790" s="26"/>
      <c r="S1790" s="37"/>
    </row>
    <row r="1791" spans="3:19" x14ac:dyDescent="0.25">
      <c r="C1791" s="1049">
        <v>48</v>
      </c>
      <c r="D1791" s="1050" t="s">
        <v>85</v>
      </c>
      <c r="E1791" s="1060"/>
      <c r="F1791" s="1061"/>
      <c r="G1791" s="39" t="s">
        <v>18</v>
      </c>
      <c r="H1791" s="33">
        <v>46101</v>
      </c>
      <c r="I1791" s="1059"/>
      <c r="J1791" s="1054"/>
      <c r="K1791" s="1055"/>
      <c r="L1791" s="1055"/>
      <c r="M1791" s="1056"/>
      <c r="N1791" s="1057"/>
      <c r="O1791" s="1057"/>
      <c r="P1791" s="1058"/>
      <c r="Q1791" s="26"/>
      <c r="R1791" s="26"/>
      <c r="S1791" s="37"/>
    </row>
    <row r="1792" spans="3:19" x14ac:dyDescent="0.25">
      <c r="C1792" s="1049">
        <v>48</v>
      </c>
      <c r="D1792" s="1050" t="s">
        <v>85</v>
      </c>
      <c r="E1792" s="1060"/>
      <c r="F1792" s="1061"/>
      <c r="G1792" s="39" t="s">
        <v>19</v>
      </c>
      <c r="H1792" s="33">
        <v>46102</v>
      </c>
      <c r="I1792" s="1059"/>
      <c r="J1792" s="1054"/>
      <c r="K1792" s="1055"/>
      <c r="L1792" s="1055"/>
      <c r="M1792" s="1056"/>
      <c r="N1792" s="1057"/>
      <c r="O1792" s="1057"/>
      <c r="P1792" s="1058"/>
      <c r="Q1792" s="26"/>
      <c r="R1792" s="26"/>
      <c r="S1792" s="37"/>
    </row>
    <row r="1793" spans="3:19" x14ac:dyDescent="0.25">
      <c r="C1793" s="1049">
        <v>48</v>
      </c>
      <c r="D1793" s="1050" t="s">
        <v>85</v>
      </c>
      <c r="E1793" s="1060"/>
      <c r="F1793" s="1061"/>
      <c r="G1793" s="46" t="s">
        <v>13</v>
      </c>
      <c r="H1793" s="33">
        <v>46103</v>
      </c>
      <c r="I1793" s="1059"/>
      <c r="J1793" s="1054"/>
      <c r="K1793" s="1055"/>
      <c r="L1793" s="1055"/>
      <c r="M1793" s="1056"/>
      <c r="N1793" s="1057"/>
      <c r="O1793" s="1057"/>
      <c r="P1793" s="1058"/>
      <c r="Q1793" s="26"/>
      <c r="R1793" s="26"/>
      <c r="S1793" s="37"/>
    </row>
    <row r="1794" spans="3:19" x14ac:dyDescent="0.25">
      <c r="C1794" s="1049">
        <v>48</v>
      </c>
      <c r="D1794" s="1050" t="s">
        <v>85</v>
      </c>
      <c r="E1794" s="1060"/>
      <c r="F1794" s="1061"/>
      <c r="G1794" s="39" t="s">
        <v>14</v>
      </c>
      <c r="H1794" s="33">
        <v>46104</v>
      </c>
      <c r="I1794" s="1062"/>
      <c r="J1794" s="1054"/>
      <c r="K1794" s="1055"/>
      <c r="L1794" s="1055"/>
      <c r="M1794" s="1056"/>
      <c r="N1794" s="1057"/>
      <c r="O1794" s="1057"/>
      <c r="P1794" s="1058"/>
      <c r="Q1794" s="26"/>
      <c r="R1794" s="26"/>
      <c r="S1794" s="37"/>
    </row>
    <row r="1795" spans="3:19" x14ac:dyDescent="0.25">
      <c r="C1795" s="1049">
        <v>48</v>
      </c>
      <c r="D1795" s="1050" t="s">
        <v>85</v>
      </c>
      <c r="E1795" s="1060"/>
      <c r="F1795" s="1061"/>
      <c r="G1795" s="39" t="s">
        <v>15</v>
      </c>
      <c r="H1795" s="33">
        <v>46105</v>
      </c>
      <c r="I1795" s="1059"/>
      <c r="J1795" s="1054"/>
      <c r="K1795" s="1055"/>
      <c r="L1795" s="1055"/>
      <c r="M1795" s="1056"/>
      <c r="N1795" s="1057"/>
      <c r="O1795" s="1057"/>
      <c r="P1795" s="1058"/>
      <c r="Q1795" s="26"/>
      <c r="R1795" s="26"/>
      <c r="S1795" s="37"/>
    </row>
    <row r="1796" spans="3:19" x14ac:dyDescent="0.25">
      <c r="C1796" s="1049">
        <v>48</v>
      </c>
      <c r="D1796" s="1050" t="s">
        <v>85</v>
      </c>
      <c r="E1796" s="1060"/>
      <c r="F1796" s="1061"/>
      <c r="G1796" s="39" t="s">
        <v>16</v>
      </c>
      <c r="H1796" s="33">
        <v>46106</v>
      </c>
      <c r="I1796" s="1059"/>
      <c r="J1796" s="1054"/>
      <c r="K1796" s="1055"/>
      <c r="L1796" s="1055"/>
      <c r="M1796" s="1056"/>
      <c r="N1796" s="1057"/>
      <c r="O1796" s="1057"/>
      <c r="P1796" s="1058"/>
      <c r="Q1796" s="26"/>
      <c r="R1796" s="26"/>
      <c r="S1796" s="37"/>
    </row>
    <row r="1797" spans="3:19" x14ac:dyDescent="0.25">
      <c r="C1797" s="1049">
        <v>48</v>
      </c>
      <c r="D1797" s="1050" t="s">
        <v>85</v>
      </c>
      <c r="E1797" s="1060"/>
      <c r="F1797" s="1061"/>
      <c r="G1797" s="39" t="s">
        <v>17</v>
      </c>
      <c r="H1797" s="33">
        <v>46107</v>
      </c>
      <c r="I1797" s="1062"/>
      <c r="J1797" s="1054"/>
      <c r="K1797" s="1055"/>
      <c r="L1797" s="1055"/>
      <c r="M1797" s="1056"/>
      <c r="N1797" s="1057"/>
      <c r="O1797" s="1057"/>
      <c r="P1797" s="1058"/>
      <c r="Q1797" s="26"/>
      <c r="R1797" s="26"/>
      <c r="S1797" s="37"/>
    </row>
    <row r="1798" spans="3:19" x14ac:dyDescent="0.25">
      <c r="C1798" s="1049">
        <v>48</v>
      </c>
      <c r="D1798" s="1050" t="s">
        <v>85</v>
      </c>
      <c r="E1798" s="1060"/>
      <c r="F1798" s="1061"/>
      <c r="G1798" s="39" t="s">
        <v>18</v>
      </c>
      <c r="H1798" s="33">
        <v>46108</v>
      </c>
      <c r="I1798" s="1059"/>
      <c r="J1798" s="1054"/>
      <c r="K1798" s="1055"/>
      <c r="L1798" s="1055"/>
      <c r="M1798" s="1056"/>
      <c r="N1798" s="1057"/>
      <c r="O1798" s="1057"/>
      <c r="P1798" s="1058"/>
      <c r="Q1798" s="26"/>
      <c r="R1798" s="26"/>
      <c r="S1798" s="37"/>
    </row>
    <row r="1799" spans="3:19" x14ac:dyDescent="0.25">
      <c r="C1799" s="1049">
        <v>48</v>
      </c>
      <c r="D1799" s="1050" t="s">
        <v>85</v>
      </c>
      <c r="E1799" s="1060"/>
      <c r="F1799" s="1061"/>
      <c r="G1799" s="39" t="s">
        <v>19</v>
      </c>
      <c r="H1799" s="33">
        <v>46109</v>
      </c>
      <c r="I1799" s="1059"/>
      <c r="J1799" s="1054"/>
      <c r="K1799" s="1055"/>
      <c r="L1799" s="1055"/>
      <c r="M1799" s="1056"/>
      <c r="N1799" s="1057"/>
      <c r="O1799" s="1057"/>
      <c r="P1799" s="1058"/>
      <c r="Q1799" s="26"/>
      <c r="R1799" s="26"/>
      <c r="S1799" s="37"/>
    </row>
    <row r="1800" spans="3:19" x14ac:dyDescent="0.25">
      <c r="C1800" s="1049">
        <v>48</v>
      </c>
      <c r="D1800" s="1050" t="s">
        <v>85</v>
      </c>
      <c r="E1800" s="1060"/>
      <c r="F1800" s="1061"/>
      <c r="G1800" s="46" t="s">
        <v>13</v>
      </c>
      <c r="H1800" s="33">
        <v>46110</v>
      </c>
      <c r="I1800" s="1059"/>
      <c r="J1800" s="1054"/>
      <c r="K1800" s="1055"/>
      <c r="L1800" s="1055"/>
      <c r="M1800" s="1056"/>
      <c r="N1800" s="1057"/>
      <c r="O1800" s="1057"/>
      <c r="P1800" s="1058"/>
      <c r="Q1800" s="26"/>
      <c r="R1800" s="26"/>
      <c r="S1800" s="37"/>
    </row>
    <row r="1801" spans="3:19" x14ac:dyDescent="0.25">
      <c r="C1801" s="1049">
        <v>48</v>
      </c>
      <c r="D1801" s="1050" t="s">
        <v>85</v>
      </c>
      <c r="E1801" s="1060"/>
      <c r="F1801" s="1061"/>
      <c r="G1801" s="39" t="s">
        <v>14</v>
      </c>
      <c r="H1801" s="33">
        <v>46111</v>
      </c>
      <c r="I1801" s="1059"/>
      <c r="J1801" s="1054"/>
      <c r="K1801" s="1055"/>
      <c r="L1801" s="1055"/>
      <c r="M1801" s="1056"/>
      <c r="N1801" s="1057"/>
      <c r="O1801" s="1057"/>
      <c r="P1801" s="1058"/>
      <c r="Q1801" s="26"/>
      <c r="R1801" s="26"/>
      <c r="S1801" s="37"/>
    </row>
    <row r="1802" spans="3:19" x14ac:dyDescent="0.25">
      <c r="C1802" s="1049">
        <v>48</v>
      </c>
      <c r="D1802" s="1050" t="s">
        <v>85</v>
      </c>
      <c r="E1802" s="1060"/>
      <c r="F1802" s="1061"/>
      <c r="G1802" s="39" t="s">
        <v>15</v>
      </c>
      <c r="H1802" s="33">
        <v>46112</v>
      </c>
      <c r="I1802" s="1059"/>
      <c r="J1802" s="1054"/>
      <c r="K1802" s="1055"/>
      <c r="L1802" s="1055"/>
      <c r="M1802" s="1056"/>
      <c r="N1802" s="1057"/>
      <c r="O1802" s="1057"/>
      <c r="P1802" s="1058"/>
      <c r="Q1802" s="26"/>
      <c r="R1802" s="26"/>
      <c r="S1802" s="37"/>
    </row>
    <row r="1803" spans="3:19" x14ac:dyDescent="0.25">
      <c r="C1803" s="1049">
        <v>48</v>
      </c>
      <c r="D1803" s="1050" t="s">
        <v>85</v>
      </c>
      <c r="E1803" s="1060"/>
      <c r="F1803" s="1061"/>
      <c r="G1803" s="39" t="s">
        <v>16</v>
      </c>
      <c r="H1803" s="33">
        <v>46324</v>
      </c>
      <c r="I1803" s="1063"/>
      <c r="J1803" s="1063"/>
      <c r="K1803" s="1064"/>
      <c r="L1803" s="1064"/>
      <c r="M1803" s="1065"/>
      <c r="N1803" s="1066"/>
      <c r="O1803" s="1066"/>
      <c r="P1803" s="1067"/>
      <c r="Q1803" s="26"/>
      <c r="R1803" s="26"/>
      <c r="S1803" s="37"/>
    </row>
    <row r="1804" spans="3:19" x14ac:dyDescent="0.25">
      <c r="C1804" s="1049">
        <v>48</v>
      </c>
      <c r="D1804" s="1050" t="s">
        <v>85</v>
      </c>
      <c r="E1804" s="1060"/>
      <c r="F1804" s="1061"/>
      <c r="G1804" s="39" t="s">
        <v>17</v>
      </c>
      <c r="H1804" s="33">
        <v>46325</v>
      </c>
      <c r="I1804" s="1063"/>
      <c r="J1804" s="1063"/>
      <c r="K1804" s="1064"/>
      <c r="L1804" s="1064"/>
      <c r="M1804" s="1065"/>
      <c r="N1804" s="1066"/>
      <c r="O1804" s="1066"/>
      <c r="P1804" s="1067"/>
      <c r="Q1804" s="26"/>
      <c r="R1804" s="26"/>
      <c r="S1804" s="37"/>
    </row>
    <row r="1805" spans="3:19" x14ac:dyDescent="0.25">
      <c r="C1805" s="1049">
        <v>48</v>
      </c>
      <c r="D1805" s="1050" t="s">
        <v>85</v>
      </c>
      <c r="E1805" s="1060"/>
      <c r="F1805" s="1061"/>
      <c r="G1805" s="39" t="s">
        <v>18</v>
      </c>
      <c r="H1805" s="33">
        <v>46326</v>
      </c>
      <c r="I1805" s="1063"/>
      <c r="J1805" s="1063"/>
      <c r="K1805" s="1064"/>
      <c r="L1805" s="1064"/>
      <c r="M1805" s="1065"/>
      <c r="N1805" s="1066"/>
      <c r="O1805" s="1066"/>
      <c r="P1805" s="1067"/>
      <c r="Q1805" s="26"/>
      <c r="R1805" s="26"/>
      <c r="S1805" s="37"/>
    </row>
    <row r="1806" spans="3:19" x14ac:dyDescent="0.25">
      <c r="C1806" s="1068"/>
      <c r="D1806" s="1069"/>
      <c r="E1806" s="1070"/>
      <c r="F1806" s="1070"/>
      <c r="G1806" s="1071"/>
      <c r="H1806" s="1072"/>
      <c r="I1806" s="1073" t="str">
        <f>D1775</f>
        <v>ADRYAN</v>
      </c>
      <c r="J1806" s="1074" t="s">
        <v>20</v>
      </c>
      <c r="K1806" s="1075"/>
      <c r="L1806" s="1075"/>
      <c r="M1806" s="1076">
        <f>SUM(M1772:M1805)</f>
        <v>0</v>
      </c>
      <c r="N1806" s="1076">
        <f t="shared" ref="N1806:O1806" si="45">SUM(N1772:N1805)</f>
        <v>0</v>
      </c>
      <c r="O1806" s="1076">
        <f t="shared" si="45"/>
        <v>0</v>
      </c>
      <c r="P1806" s="1077"/>
      <c r="Q1806" s="26"/>
      <c r="R1806" s="26"/>
      <c r="S1806" s="37"/>
    </row>
    <row r="1807" spans="3:19" x14ac:dyDescent="0.25">
      <c r="Q1807" s="26"/>
      <c r="R1807" s="26"/>
      <c r="S1807" s="37"/>
    </row>
    <row r="1808" spans="3:19" x14ac:dyDescent="0.25">
      <c r="Q1808" s="26"/>
      <c r="R1808" s="26"/>
      <c r="S1808" s="37"/>
    </row>
    <row r="1809" spans="17:19" x14ac:dyDescent="0.25">
      <c r="Q1809" s="26"/>
      <c r="R1809" s="26"/>
      <c r="S1809" s="37"/>
    </row>
    <row r="1810" spans="17:19" x14ac:dyDescent="0.25">
      <c r="Q1810" s="26"/>
      <c r="R1810" s="26"/>
      <c r="S1810" s="37"/>
    </row>
    <row r="1811" spans="17:19" x14ac:dyDescent="0.25">
      <c r="Q1811" s="26"/>
      <c r="R1811" s="26"/>
      <c r="S1811" s="37"/>
    </row>
    <row r="1812" spans="17:19" x14ac:dyDescent="0.25">
      <c r="Q1812" s="26"/>
      <c r="R1812" s="26"/>
      <c r="S1812" s="37"/>
    </row>
    <row r="1813" spans="17:19" x14ac:dyDescent="0.25">
      <c r="Q1813" s="26"/>
      <c r="R1813" s="26"/>
      <c r="S1813" s="37"/>
    </row>
    <row r="1814" spans="17:19" x14ac:dyDescent="0.25">
      <c r="Q1814" s="26"/>
      <c r="R1814" s="26"/>
      <c r="S1814" s="37"/>
    </row>
    <row r="1815" spans="17:19" x14ac:dyDescent="0.25">
      <c r="Q1815" s="26"/>
      <c r="R1815" s="26"/>
      <c r="S1815" s="37"/>
    </row>
    <row r="1816" spans="17:19" x14ac:dyDescent="0.25">
      <c r="Q1816" s="26"/>
      <c r="R1816" s="26"/>
      <c r="S1816" s="37"/>
    </row>
    <row r="1817" spans="17:19" x14ac:dyDescent="0.25">
      <c r="Q1817" s="26"/>
      <c r="R1817" s="26"/>
      <c r="S1817" s="37"/>
    </row>
    <row r="1818" spans="17:19" x14ac:dyDescent="0.25">
      <c r="Q1818" s="26"/>
      <c r="R1818" s="26"/>
      <c r="S1818" s="37"/>
    </row>
    <row r="1819" spans="17:19" x14ac:dyDescent="0.25">
      <c r="Q1819" s="26"/>
      <c r="R1819" s="26"/>
      <c r="S1819" s="37"/>
    </row>
    <row r="1820" spans="17:19" x14ac:dyDescent="0.25">
      <c r="Q1820" s="26"/>
      <c r="R1820" s="26"/>
      <c r="S1820" s="37"/>
    </row>
    <row r="1821" spans="17:19" x14ac:dyDescent="0.25">
      <c r="Q1821" s="26"/>
      <c r="R1821" s="26"/>
      <c r="S1821" s="37"/>
    </row>
    <row r="1822" spans="17:19" x14ac:dyDescent="0.25">
      <c r="Q1822" s="26"/>
      <c r="R1822" s="26"/>
      <c r="S1822" s="37"/>
    </row>
    <row r="1823" spans="17:19" x14ac:dyDescent="0.25">
      <c r="Q1823" s="26"/>
      <c r="R1823" s="26"/>
      <c r="S1823" s="37"/>
    </row>
    <row r="1824" spans="17:19" x14ac:dyDescent="0.25">
      <c r="Q1824" s="26"/>
      <c r="R1824" s="26"/>
      <c r="S1824" s="37"/>
    </row>
    <row r="1825" spans="17:19" x14ac:dyDescent="0.25">
      <c r="Q1825" s="26"/>
      <c r="R1825" s="26"/>
      <c r="S1825" s="37"/>
    </row>
    <row r="1826" spans="17:19" x14ac:dyDescent="0.25">
      <c r="Q1826" s="26"/>
      <c r="R1826" s="26"/>
      <c r="S1826" s="37"/>
    </row>
    <row r="1827" spans="17:19" x14ac:dyDescent="0.25">
      <c r="Q1827" s="26"/>
      <c r="R1827" s="26"/>
      <c r="S1827" s="37"/>
    </row>
    <row r="1828" spans="17:19" x14ac:dyDescent="0.25">
      <c r="Q1828" s="26"/>
      <c r="R1828" s="26"/>
      <c r="S1828" s="37"/>
    </row>
    <row r="1829" spans="17:19" x14ac:dyDescent="0.25">
      <c r="Q1829" s="26"/>
      <c r="R1829" s="26"/>
      <c r="S1829" s="37"/>
    </row>
    <row r="1830" spans="17:19" x14ac:dyDescent="0.25">
      <c r="Q1830" s="26"/>
      <c r="R1830" s="26"/>
      <c r="S1830" s="37"/>
    </row>
    <row r="1831" spans="17:19" x14ac:dyDescent="0.25">
      <c r="Q1831" s="26"/>
      <c r="R1831" s="26"/>
      <c r="S1831" s="37"/>
    </row>
    <row r="1832" spans="17:19" x14ac:dyDescent="0.25">
      <c r="Q1832" s="26"/>
      <c r="R1832" s="26"/>
      <c r="S1832" s="37"/>
    </row>
    <row r="1833" spans="17:19" x14ac:dyDescent="0.25">
      <c r="Q1833" s="26"/>
      <c r="R1833" s="26"/>
      <c r="S1833" s="37"/>
    </row>
    <row r="1834" spans="17:19" x14ac:dyDescent="0.25">
      <c r="Q1834" s="26"/>
      <c r="R1834" s="26"/>
      <c r="S1834" s="37"/>
    </row>
    <row r="1835" spans="17:19" x14ac:dyDescent="0.25">
      <c r="Q1835" s="26"/>
      <c r="R1835" s="26"/>
      <c r="S1835" s="37"/>
    </row>
    <row r="1836" spans="17:19" x14ac:dyDescent="0.25">
      <c r="Q1836" s="26"/>
      <c r="R1836" s="26"/>
      <c r="S1836" s="37"/>
    </row>
    <row r="1837" spans="17:19" x14ac:dyDescent="0.25">
      <c r="Q1837" s="26"/>
      <c r="R1837" s="26"/>
      <c r="S1837" s="37"/>
    </row>
    <row r="1838" spans="17:19" x14ac:dyDescent="0.25">
      <c r="Q1838" s="26"/>
      <c r="R1838" s="26"/>
      <c r="S1838" s="37"/>
    </row>
    <row r="1839" spans="17:19" x14ac:dyDescent="0.25">
      <c r="Q1839" s="26"/>
      <c r="R1839" s="26"/>
      <c r="S1839" s="37"/>
    </row>
    <row r="1840" spans="17:19" x14ac:dyDescent="0.25">
      <c r="Q1840" s="26"/>
      <c r="R1840" s="26"/>
      <c r="S1840" s="37"/>
    </row>
    <row r="1841" spans="17:19" x14ac:dyDescent="0.25">
      <c r="Q1841" s="26"/>
      <c r="R1841" s="26"/>
      <c r="S1841" s="37"/>
    </row>
    <row r="1842" spans="17:19" x14ac:dyDescent="0.25">
      <c r="Q1842" s="26"/>
      <c r="R1842" s="26"/>
      <c r="S1842" s="37"/>
    </row>
    <row r="1843" spans="17:19" x14ac:dyDescent="0.25">
      <c r="Q1843" s="26"/>
      <c r="R1843" s="26"/>
      <c r="S1843" s="37"/>
    </row>
    <row r="1844" spans="17:19" x14ac:dyDescent="0.25">
      <c r="Q1844" s="26"/>
      <c r="R1844" s="26"/>
      <c r="S1844" s="37"/>
    </row>
    <row r="1845" spans="17:19" x14ac:dyDescent="0.25">
      <c r="Q1845" s="26"/>
      <c r="R1845" s="26"/>
      <c r="S1845" s="37"/>
    </row>
    <row r="1846" spans="17:19" x14ac:dyDescent="0.25">
      <c r="Q1846" s="26"/>
      <c r="R1846" s="26"/>
      <c r="S1846" s="37"/>
    </row>
    <row r="1847" spans="17:19" x14ac:dyDescent="0.25">
      <c r="Q1847" s="26"/>
      <c r="R1847" s="26"/>
      <c r="S1847" s="37"/>
    </row>
    <row r="1848" spans="17:19" x14ac:dyDescent="0.25">
      <c r="Q1848" s="26"/>
      <c r="R1848" s="26"/>
      <c r="S1848" s="37"/>
    </row>
    <row r="1849" spans="17:19" x14ac:dyDescent="0.25">
      <c r="Q1849" s="26"/>
      <c r="R1849" s="26"/>
      <c r="S1849" s="37"/>
    </row>
    <row r="1850" spans="17:19" x14ac:dyDescent="0.25">
      <c r="Q1850" s="26"/>
      <c r="R1850" s="26"/>
      <c r="S1850" s="37"/>
    </row>
    <row r="1851" spans="17:19" x14ac:dyDescent="0.25">
      <c r="Q1851" s="26"/>
      <c r="R1851" s="26"/>
      <c r="S1851" s="37"/>
    </row>
    <row r="1852" spans="17:19" x14ac:dyDescent="0.25">
      <c r="Q1852" s="26"/>
      <c r="R1852" s="26"/>
      <c r="S1852" s="37"/>
    </row>
    <row r="1853" spans="17:19" x14ac:dyDescent="0.25">
      <c r="Q1853" s="26"/>
      <c r="R1853" s="26"/>
      <c r="S1853" s="37"/>
    </row>
    <row r="1854" spans="17:19" x14ac:dyDescent="0.25">
      <c r="Q1854" s="26"/>
      <c r="R1854" s="26"/>
      <c r="S1854" s="37"/>
    </row>
    <row r="1855" spans="17:19" x14ac:dyDescent="0.25">
      <c r="Q1855" s="26"/>
      <c r="R1855" s="26"/>
      <c r="S1855" s="37"/>
    </row>
    <row r="1856" spans="17:19" x14ac:dyDescent="0.25">
      <c r="Q1856" s="26"/>
      <c r="R1856" s="26"/>
      <c r="S1856" s="37"/>
    </row>
    <row r="1857" spans="17:19" x14ac:dyDescent="0.25">
      <c r="Q1857" s="26"/>
      <c r="R1857" s="26"/>
      <c r="S1857" s="37"/>
    </row>
    <row r="1858" spans="17:19" x14ac:dyDescent="0.25">
      <c r="Q1858" s="26"/>
      <c r="R1858" s="26"/>
      <c r="S1858" s="37"/>
    </row>
    <row r="1859" spans="17:19" x14ac:dyDescent="0.25">
      <c r="Q1859" s="26"/>
      <c r="R1859" s="26"/>
      <c r="S1859" s="37"/>
    </row>
    <row r="1860" spans="17:19" x14ac:dyDescent="0.25">
      <c r="Q1860" s="26"/>
      <c r="R1860" s="26"/>
      <c r="S1860" s="37"/>
    </row>
    <row r="1861" spans="17:19" x14ac:dyDescent="0.25">
      <c r="Q1861" s="26"/>
      <c r="R1861" s="26"/>
      <c r="S1861" s="37"/>
    </row>
    <row r="1862" spans="17:19" x14ac:dyDescent="0.25">
      <c r="Q1862" s="26"/>
      <c r="R1862" s="26"/>
      <c r="S1862" s="37"/>
    </row>
    <row r="1863" spans="17:19" x14ac:dyDescent="0.25">
      <c r="Q1863" s="26"/>
      <c r="R1863" s="26"/>
      <c r="S1863" s="37"/>
    </row>
    <row r="1864" spans="17:19" x14ac:dyDescent="0.25">
      <c r="Q1864" s="26"/>
      <c r="R1864" s="26"/>
      <c r="S1864" s="37"/>
    </row>
    <row r="1865" spans="17:19" x14ac:dyDescent="0.25">
      <c r="Q1865" s="26"/>
      <c r="R1865" s="26"/>
      <c r="S1865" s="37"/>
    </row>
    <row r="1866" spans="17:19" x14ac:dyDescent="0.25">
      <c r="Q1866" s="26"/>
      <c r="R1866" s="26"/>
      <c r="S1866" s="37"/>
    </row>
    <row r="1867" spans="17:19" x14ac:dyDescent="0.25">
      <c r="Q1867" s="26"/>
      <c r="R1867" s="26"/>
      <c r="S1867" s="37"/>
    </row>
    <row r="1868" spans="17:19" x14ac:dyDescent="0.25">
      <c r="Q1868" s="26"/>
      <c r="R1868" s="26"/>
      <c r="S1868" s="37"/>
    </row>
    <row r="1869" spans="17:19" x14ac:dyDescent="0.25">
      <c r="Q1869" s="26"/>
      <c r="R1869" s="26"/>
      <c r="S1869" s="37"/>
    </row>
    <row r="1870" spans="17:19" x14ac:dyDescent="0.25">
      <c r="Q1870" s="26"/>
      <c r="R1870" s="26"/>
      <c r="S1870" s="37"/>
    </row>
    <row r="1871" spans="17:19" x14ac:dyDescent="0.25">
      <c r="Q1871" s="26"/>
      <c r="R1871" s="26"/>
      <c r="S1871" s="37"/>
    </row>
    <row r="1872" spans="17:19" x14ac:dyDescent="0.25">
      <c r="Q1872" s="26"/>
      <c r="R1872" s="26"/>
      <c r="S1872" s="37"/>
    </row>
    <row r="1873" spans="17:19" x14ac:dyDescent="0.25">
      <c r="Q1873" s="26"/>
      <c r="R1873" s="26"/>
      <c r="S1873" s="37"/>
    </row>
    <row r="1874" spans="17:19" x14ac:dyDescent="0.25">
      <c r="Q1874" s="26"/>
      <c r="R1874" s="26"/>
      <c r="S1874" s="37"/>
    </row>
    <row r="1875" spans="17:19" x14ac:dyDescent="0.25">
      <c r="Q1875" s="26"/>
      <c r="R1875" s="26"/>
      <c r="S1875" s="37"/>
    </row>
    <row r="1876" spans="17:19" x14ac:dyDescent="0.25">
      <c r="Q1876" s="26"/>
      <c r="R1876" s="26"/>
      <c r="S1876" s="37"/>
    </row>
    <row r="1877" spans="17:19" x14ac:dyDescent="0.25">
      <c r="Q1877" s="26"/>
      <c r="R1877" s="26"/>
      <c r="S1877" s="37"/>
    </row>
    <row r="1878" spans="17:19" x14ac:dyDescent="0.25">
      <c r="Q1878" s="26"/>
      <c r="R1878" s="26"/>
      <c r="S1878" s="37"/>
    </row>
    <row r="1879" spans="17:19" x14ac:dyDescent="0.25">
      <c r="Q1879" s="26"/>
      <c r="R1879" s="26"/>
      <c r="S1879" s="37"/>
    </row>
    <row r="1880" spans="17:19" x14ac:dyDescent="0.25">
      <c r="Q1880" s="26"/>
      <c r="R1880" s="26"/>
      <c r="S1880" s="37"/>
    </row>
    <row r="1881" spans="17:19" x14ac:dyDescent="0.25">
      <c r="Q1881" s="26"/>
      <c r="R1881" s="26"/>
      <c r="S1881" s="37"/>
    </row>
    <row r="1882" spans="17:19" x14ac:dyDescent="0.25">
      <c r="Q1882" s="26"/>
      <c r="R1882" s="26"/>
      <c r="S1882" s="37"/>
    </row>
    <row r="1883" spans="17:19" x14ac:dyDescent="0.25">
      <c r="Q1883" s="26"/>
      <c r="R1883" s="26"/>
      <c r="S1883" s="37"/>
    </row>
    <row r="1884" spans="17:19" x14ac:dyDescent="0.25">
      <c r="Q1884" s="26"/>
      <c r="R1884" s="26"/>
      <c r="S1884" s="37"/>
    </row>
    <row r="1885" spans="17:19" x14ac:dyDescent="0.25">
      <c r="Q1885" s="26"/>
      <c r="R1885" s="26"/>
      <c r="S1885" s="37"/>
    </row>
    <row r="1886" spans="17:19" x14ac:dyDescent="0.25">
      <c r="Q1886" s="26"/>
      <c r="R1886" s="26"/>
      <c r="S1886" s="37"/>
    </row>
    <row r="1887" spans="17:19" x14ac:dyDescent="0.25">
      <c r="Q1887" s="26"/>
      <c r="R1887" s="26"/>
      <c r="S1887" s="37"/>
    </row>
    <row r="1888" spans="17:19" x14ac:dyDescent="0.25">
      <c r="Q1888" s="26"/>
      <c r="R1888" s="26"/>
      <c r="S1888" s="37"/>
    </row>
    <row r="1889" spans="17:19" x14ac:dyDescent="0.25">
      <c r="Q1889" s="26"/>
      <c r="R1889" s="26"/>
      <c r="S1889" s="37"/>
    </row>
    <row r="1890" spans="17:19" x14ac:dyDescent="0.25">
      <c r="Q1890" s="26"/>
      <c r="R1890" s="26"/>
      <c r="S1890" t="s">
        <v>72</v>
      </c>
    </row>
    <row r="1891" spans="17:19" x14ac:dyDescent="0.25">
      <c r="Q1891" s="26"/>
    </row>
  </sheetData>
  <mergeCells count="16">
    <mergeCell ref="D1383:F1383"/>
    <mergeCell ref="D1384:F1384"/>
    <mergeCell ref="D1385:F1385"/>
    <mergeCell ref="C1548:H1548"/>
    <mergeCell ref="D1377:F1377"/>
    <mergeCell ref="D1378:F1378"/>
    <mergeCell ref="D1379:F1379"/>
    <mergeCell ref="D1380:F1380"/>
    <mergeCell ref="D1381:F1381"/>
    <mergeCell ref="D1382:F1382"/>
    <mergeCell ref="D1376:F1376"/>
    <mergeCell ref="C3:O3"/>
    <mergeCell ref="D1372:F1372"/>
    <mergeCell ref="D1373:F1373"/>
    <mergeCell ref="D1374:F1374"/>
    <mergeCell ref="D1375:F1375"/>
  </mergeCells>
  <pageMargins left="0.7" right="0.7" top="0.75" bottom="0.75" header="0.3" footer="0.3"/>
  <pageSetup scale="75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MARET</vt:lpstr>
      <vt:lpstr>MARET!Print_Area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2026-03-14T03:45:31Z</dcterms:created>
  <dcterms:modified xsi:type="dcterms:W3CDTF">2026-03-16T07:49:57Z</dcterms:modified>
</cp:coreProperties>
</file>